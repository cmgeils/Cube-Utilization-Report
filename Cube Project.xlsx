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ocuments\"/>
    </mc:Choice>
  </mc:AlternateContent>
  <xr:revisionPtr revIDLastSave="0" documentId="13_ncr:1_{5B438787-8040-4C77-8B4A-C3B2C995485E}" xr6:coauthVersionLast="47" xr6:coauthVersionMax="47" xr10:uidLastSave="{00000000-0000-0000-0000-000000000000}"/>
  <bookViews>
    <workbookView xWindow="345" yWindow="30" windowWidth="28545" windowHeight="15450" activeTab="4" xr2:uid="{B365D15C-95BD-4308-A588-AD19D97EC8F5}"/>
  </bookViews>
  <sheets>
    <sheet name="Total Cube Data" sheetId="9" r:id="rId1"/>
    <sheet name="Pivots" sheetId="12" r:id="rId2"/>
    <sheet name="Load Information Lookup" sheetId="2" r:id="rId3"/>
    <sheet name="Outbound Lineup" sheetId="4" r:id="rId4"/>
    <sheet name="Cube Utilization Report" sheetId="11" r:id="rId5"/>
  </sheets>
  <definedNames>
    <definedName name="ExternalData_1" localSheetId="0" hidden="1">'Total Cube Data'!$A$1:$I$209</definedName>
    <definedName name="Slicer_Ld_Create_Dt">#N/A</definedName>
    <definedName name="Slicer_Week_Ending">#N/A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5" i="11" l="1"/>
  <c r="I135" i="11" s="1"/>
  <c r="G136" i="11"/>
  <c r="I136" i="11" s="1"/>
  <c r="G134" i="11"/>
  <c r="I134" i="11" s="1"/>
  <c r="A134" i="11" a="1"/>
  <c r="A134" i="11" s="1"/>
  <c r="A128" i="11" a="1"/>
  <c r="A128" i="11" s="1"/>
  <c r="H131" i="11"/>
  <c r="G129" i="11"/>
  <c r="I129" i="11" s="1"/>
  <c r="G130" i="11"/>
  <c r="I130" i="11" s="1"/>
  <c r="G128" i="11"/>
  <c r="I128" i="11" s="1"/>
  <c r="G115" i="11"/>
  <c r="J115" i="11" s="1"/>
  <c r="G116" i="11"/>
  <c r="H116" i="11" s="1"/>
  <c r="G114" i="11"/>
  <c r="J114" i="11" s="1"/>
  <c r="G108" i="11"/>
  <c r="J108" i="11" s="1"/>
  <c r="G109" i="11"/>
  <c r="I109" i="11" s="1"/>
  <c r="G110" i="11"/>
  <c r="I110" i="11" s="1"/>
  <c r="A114" i="11" a="1"/>
  <c r="A114" i="11" s="1"/>
  <c r="A108" i="11" a="1"/>
  <c r="A108" i="11" s="1"/>
  <c r="H111" i="11"/>
  <c r="D104" i="11"/>
  <c r="D103" i="11"/>
  <c r="G95" i="11"/>
  <c r="H95" i="11" s="1"/>
  <c r="G96" i="11"/>
  <c r="I96" i="11" s="1"/>
  <c r="G94" i="11"/>
  <c r="H94" i="11" s="1"/>
  <c r="G89" i="11"/>
  <c r="J89" i="11" s="1"/>
  <c r="G90" i="11"/>
  <c r="J90" i="11" s="1"/>
  <c r="G88" i="11"/>
  <c r="H88" i="11" s="1"/>
  <c r="A94" i="11" a="1"/>
  <c r="A94" i="11" s="1"/>
  <c r="A88" i="11" a="1"/>
  <c r="A88" i="11" s="1"/>
  <c r="H91" i="11"/>
  <c r="D83" i="11"/>
  <c r="G75" i="11"/>
  <c r="I75" i="11" s="1"/>
  <c r="G76" i="11"/>
  <c r="I76" i="11" s="1"/>
  <c r="G74" i="11"/>
  <c r="I74" i="11" s="1"/>
  <c r="G69" i="11"/>
  <c r="H69" i="11" s="1"/>
  <c r="G70" i="11"/>
  <c r="I70" i="11" s="1"/>
  <c r="G68" i="11"/>
  <c r="I68" i="11" s="1"/>
  <c r="A74" i="11" a="1"/>
  <c r="A74" i="11" s="1"/>
  <c r="A68" i="11" a="1"/>
  <c r="A68" i="11" s="1"/>
  <c r="D60" i="11"/>
  <c r="D61" i="11" s="1"/>
  <c r="H71" i="11"/>
  <c r="D64" i="11"/>
  <c r="D40" i="11"/>
  <c r="G55" i="11"/>
  <c r="K55" i="11" s="1"/>
  <c r="G56" i="11"/>
  <c r="I56" i="11" s="1"/>
  <c r="G54" i="11"/>
  <c r="I54" i="11" s="1"/>
  <c r="G48" i="11"/>
  <c r="J48" i="11" s="1"/>
  <c r="H51" i="11"/>
  <c r="G49" i="11"/>
  <c r="I49" i="11" s="1"/>
  <c r="G50" i="11"/>
  <c r="J50" i="11" s="1"/>
  <c r="A54" i="11" a="1"/>
  <c r="A54" i="11" s="1"/>
  <c r="A48" i="11" a="1"/>
  <c r="A48" i="11" s="1"/>
  <c r="G4" i="11"/>
  <c r="A4" i="11"/>
  <c r="G31" i="11" a="1"/>
  <c r="G31" i="11" s="1"/>
  <c r="A31" i="11" a="1"/>
  <c r="A31" i="11" s="1"/>
  <c r="K15" i="11" a="1"/>
  <c r="K15" i="11" s="1"/>
  <c r="E15" i="11" a="1"/>
  <c r="E15" i="11" s="1"/>
  <c r="G23" i="11" a="1"/>
  <c r="G23" i="11" s="1"/>
  <c r="A23" i="11" a="1"/>
  <c r="A23" i="11" s="1"/>
  <c r="J15" i="11" a="1"/>
  <c r="J15" i="11" s="1"/>
  <c r="D15" i="11" a="1"/>
  <c r="D15" i="11" s="1"/>
  <c r="H15" i="11" a="1"/>
  <c r="H15" i="11" s="1"/>
  <c r="I15" i="11" s="1"/>
  <c r="B15" i="11" a="1"/>
  <c r="B15" i="11" s="1"/>
  <c r="C15" i="11" s="1"/>
  <c r="G15" i="11" a="1"/>
  <c r="G15" i="11" s="1"/>
  <c r="J83" i="11" s="1"/>
  <c r="A15" i="11" a="1"/>
  <c r="A15" i="11" s="1"/>
  <c r="D80" i="11" s="1"/>
  <c r="D81" i="11" s="1"/>
  <c r="D120" i="11" l="1"/>
  <c r="D121" i="11" s="1"/>
  <c r="D123" i="11"/>
  <c r="D124" i="11"/>
  <c r="D100" i="11"/>
  <c r="D101" i="11" s="1"/>
  <c r="D43" i="11"/>
  <c r="D44" i="11"/>
  <c r="D84" i="11"/>
  <c r="D63" i="11"/>
  <c r="H68" i="11"/>
  <c r="J76" i="11"/>
  <c r="I90" i="11"/>
  <c r="H76" i="11"/>
  <c r="H56" i="11"/>
  <c r="K76" i="11"/>
  <c r="K88" i="11"/>
  <c r="J88" i="11"/>
  <c r="I88" i="11"/>
  <c r="J95" i="11"/>
  <c r="I95" i="11"/>
  <c r="K95" i="11"/>
  <c r="K94" i="11"/>
  <c r="J94" i="11"/>
  <c r="J54" i="11"/>
  <c r="H54" i="11"/>
  <c r="I94" i="11"/>
  <c r="K54" i="11"/>
  <c r="H128" i="11"/>
  <c r="H49" i="11"/>
  <c r="H74" i="11"/>
  <c r="H75" i="11"/>
  <c r="H129" i="11"/>
  <c r="H134" i="11"/>
  <c r="H130" i="11"/>
  <c r="H135" i="11"/>
  <c r="K130" i="11"/>
  <c r="H136" i="11"/>
  <c r="J44" i="11"/>
  <c r="J60" i="11"/>
  <c r="J61" i="11" s="1"/>
  <c r="J100" i="11"/>
  <c r="J101" i="11" s="1"/>
  <c r="J130" i="11"/>
  <c r="K136" i="11"/>
  <c r="J136" i="11"/>
  <c r="K129" i="11"/>
  <c r="K48" i="11"/>
  <c r="J40" i="11"/>
  <c r="J41" i="11" s="1"/>
  <c r="J84" i="11"/>
  <c r="I89" i="11"/>
  <c r="I114" i="11"/>
  <c r="J43" i="11"/>
  <c r="H48" i="11"/>
  <c r="H70" i="11"/>
  <c r="K70" i="11"/>
  <c r="H50" i="11"/>
  <c r="J70" i="11"/>
  <c r="K49" i="11"/>
  <c r="H55" i="11"/>
  <c r="K75" i="11"/>
  <c r="J49" i="11"/>
  <c r="K56" i="11"/>
  <c r="J63" i="11"/>
  <c r="K69" i="11"/>
  <c r="J75" i="11"/>
  <c r="J103" i="11"/>
  <c r="J56" i="11"/>
  <c r="J69" i="11"/>
  <c r="K50" i="11"/>
  <c r="J64" i="11"/>
  <c r="I69" i="11"/>
  <c r="K74" i="11"/>
  <c r="J104" i="11"/>
  <c r="J120" i="11"/>
  <c r="J121" i="11" s="1"/>
  <c r="J129" i="11"/>
  <c r="K135" i="11"/>
  <c r="J135" i="11"/>
  <c r="K68" i="11"/>
  <c r="J74" i="11"/>
  <c r="H89" i="11"/>
  <c r="H96" i="11"/>
  <c r="I50" i="11"/>
  <c r="J55" i="11"/>
  <c r="J68" i="11"/>
  <c r="H90" i="11"/>
  <c r="K96" i="11"/>
  <c r="J123" i="11"/>
  <c r="K128" i="11"/>
  <c r="I55" i="11"/>
  <c r="K90" i="11"/>
  <c r="J96" i="11"/>
  <c r="J128" i="11"/>
  <c r="K134" i="11"/>
  <c r="J80" i="11"/>
  <c r="J81" i="11" s="1"/>
  <c r="H114" i="11"/>
  <c r="J124" i="11"/>
  <c r="J134" i="11"/>
  <c r="K89" i="11"/>
  <c r="K114" i="11"/>
  <c r="I48" i="11"/>
  <c r="H115" i="11"/>
  <c r="K116" i="11"/>
  <c r="J116" i="11"/>
  <c r="I116" i="11"/>
  <c r="K115" i="11"/>
  <c r="I115" i="11"/>
  <c r="H108" i="11"/>
  <c r="H109" i="11"/>
  <c r="J109" i="11"/>
  <c r="K110" i="11"/>
  <c r="H110" i="11"/>
  <c r="J110" i="11"/>
  <c r="K109" i="11"/>
  <c r="I108" i="11"/>
  <c r="K108" i="11"/>
  <c r="D41" i="11"/>
  <c r="I19" i="11"/>
  <c r="C17" i="11"/>
  <c r="I18" i="11"/>
  <c r="I17" i="11"/>
  <c r="I16" i="11"/>
  <c r="C19" i="11"/>
  <c r="C18" i="11"/>
  <c r="C16" i="11"/>
  <c r="D11" i="11"/>
  <c r="D7" i="11"/>
  <c r="D10" i="11"/>
  <c r="J11" i="11"/>
  <c r="J10" i="11"/>
  <c r="J7" i="11"/>
  <c r="J8" i="11" l="1"/>
  <c r="D8"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84431D-3213-4862-B29F-81182825E86C}" keepAlive="1" name="Query - Cube Utilization Data" description="Connection to the 'Cube Utilization Data' query in the workbook." type="5" refreshedVersion="8" background="1" saveData="1">
    <dbPr connection="Provider=Microsoft.Mashup.OleDb.1;Data Source=$Workbook$;Location=&quot;Cube Utilization Data&quot;;Extended Properties=&quot;&quot;" command="SELECT * FROM [Cube Utilization Data]"/>
  </connection>
  <connection id="2" xr16:uid="{90201F57-62C2-421C-BC1E-436BAF6BD017}" keepAlive="1" name="Query - Load Information Lookup" description="Connection to the 'Load Information Lookup' query in the workbook." type="5" refreshedVersion="0" background="1">
    <dbPr connection="Provider=Microsoft.Mashup.OleDb.1;Data Source=$Workbook$;Location=&quot;Load Information Lookup&quot;;Extended Properties=&quot;&quot;" command="SELECT * FROM [Load Information Lookup]"/>
  </connection>
  <connection id="3" xr16:uid="{3BC5471E-B1F6-43A0-8715-F1D0D95B42F9}" keepAlive="1" name="Query - Outbound Lineup" description="Connection to the 'Outbound Lineup' query in the workbook." type="5" refreshedVersion="8" background="1" saveData="1">
    <dbPr connection="Provider=Microsoft.Mashup.OleDb.1;Data Source=$Workbook$;Location=&quot;Outbound Lineup&quot;;Extended Properties=&quot;&quot;" command="SELECT * FROM [Outbound Lineu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<sst xmlns="http://schemas.openxmlformats.org/spreadsheetml/2006/main" count="1950" uniqueCount="478">
  <si>
    <t>Ld Create Dt</t>
  </si>
  <si>
    <t>Total Loads</t>
  </si>
  <si>
    <t>Total Loaded Cube</t>
  </si>
  <si>
    <t>Total Equip Cap</t>
  </si>
  <si>
    <t>Total Mvmt $</t>
  </si>
  <si>
    <t>BETHLEHEM HUB</t>
  </si>
  <si>
    <t>HASLET HUB</t>
  </si>
  <si>
    <t>MANHATTAN-43 ST.</t>
  </si>
  <si>
    <t>WATERBURY SORT</t>
  </si>
  <si>
    <t>NORTH BALTIMORE HUB</t>
  </si>
  <si>
    <t>JACKSONVILLE</t>
  </si>
  <si>
    <t>COLUMBIA AIR HUB</t>
  </si>
  <si>
    <t>SMART HUB</t>
  </si>
  <si>
    <t>WILLOW GROVE</t>
  </si>
  <si>
    <t>PROVIDENCE HUB</t>
  </si>
  <si>
    <t>SYRACUSE</t>
  </si>
  <si>
    <t>WEST CHESTER</t>
  </si>
  <si>
    <t>MEBANE HUB</t>
  </si>
  <si>
    <t>EMPIRE BUILDING</t>
  </si>
  <si>
    <t>BAYONNE</t>
  </si>
  <si>
    <t>NORTH BAY HUB</t>
  </si>
  <si>
    <t>WHITES CREEK HUB</t>
  </si>
  <si>
    <t>CACH</t>
  </si>
  <si>
    <t>BURTONSVILLE</t>
  </si>
  <si>
    <t>NASSAU</t>
  </si>
  <si>
    <t>WILKES-BARRE SORT</t>
  </si>
  <si>
    <t>COLUMBUS</t>
  </si>
  <si>
    <t>MEADOWLANDS</t>
  </si>
  <si>
    <t>ISLAND CITY</t>
  </si>
  <si>
    <t>GAITHERSBURG</t>
  </si>
  <si>
    <t>ALLENTOWN SORT</t>
  </si>
  <si>
    <t>INDY PLAINFIELD HUB</t>
  </si>
  <si>
    <t>GRADE LANE HUB</t>
  </si>
  <si>
    <t>CHELMSFORD</t>
  </si>
  <si>
    <t>PHILA AIR HUB</t>
  </si>
  <si>
    <t>BRUSH AVE</t>
  </si>
  <si>
    <t>LANCASTER SORT</t>
  </si>
  <si>
    <t>FOSTER AVENUE</t>
  </si>
  <si>
    <t>PHILA OREGON AV</t>
  </si>
  <si>
    <t>SADDLEBROOK</t>
  </si>
  <si>
    <t>CRANBURY HUB</t>
  </si>
  <si>
    <t>HARTFORD</t>
  </si>
  <si>
    <t>LEXINGTON</t>
  </si>
  <si>
    <t>RICHMOND</t>
  </si>
  <si>
    <t>Destinations</t>
  </si>
  <si>
    <t>SLICS</t>
  </si>
  <si>
    <t>Cetner</t>
  </si>
  <si>
    <t>0703 P</t>
  </si>
  <si>
    <t>LYNDHURST VILLAGE</t>
  </si>
  <si>
    <t>703 P</t>
  </si>
  <si>
    <t>1006 P</t>
  </si>
  <si>
    <t>43RD ST-3RD FLR PRE</t>
  </si>
  <si>
    <t>1015 P</t>
  </si>
  <si>
    <t>43RD ST-4TH FLR PRE</t>
  </si>
  <si>
    <t>1017 P</t>
  </si>
  <si>
    <t>43RD ST-2ND FLR PRE</t>
  </si>
  <si>
    <t>1075 M</t>
  </si>
  <si>
    <t>YONKERS</t>
  </si>
  <si>
    <t>1075 P</t>
  </si>
  <si>
    <t>1110 P</t>
  </si>
  <si>
    <t>QUEENS NORTH</t>
  </si>
  <si>
    <t>1123 P</t>
  </si>
  <si>
    <t>OCEAN HILL</t>
  </si>
  <si>
    <t>1164 P</t>
  </si>
  <si>
    <t>SPRINGFIELD</t>
  </si>
  <si>
    <t>1170 P</t>
  </si>
  <si>
    <t>SUFFOLK-PATCHOGUE</t>
  </si>
  <si>
    <t>ALLPA P</t>
  </si>
  <si>
    <t>1819 P</t>
  </si>
  <si>
    <t>ATLGA T</t>
  </si>
  <si>
    <t>3039 T</t>
  </si>
  <si>
    <t>BAYNJ N</t>
  </si>
  <si>
    <t>769 N</t>
  </si>
  <si>
    <t>BAYNJ P</t>
  </si>
  <si>
    <t>769 P</t>
  </si>
  <si>
    <t>BBRNJ P</t>
  </si>
  <si>
    <t>BOUND BROOK SORT</t>
  </si>
  <si>
    <t>789 P</t>
  </si>
  <si>
    <t>BDLAP P</t>
  </si>
  <si>
    <t>BRADLEY HUB SORT</t>
  </si>
  <si>
    <t>609 P</t>
  </si>
  <si>
    <t>BETPA P</t>
  </si>
  <si>
    <t>1809 P</t>
  </si>
  <si>
    <t>BLVNY P</t>
  </si>
  <si>
    <t>PALISADES</t>
  </si>
  <si>
    <t>1096 P</t>
  </si>
  <si>
    <t>BROMA P</t>
  </si>
  <si>
    <t>BROCKTON HUB</t>
  </si>
  <si>
    <t>249 P</t>
  </si>
  <si>
    <t>BRUNY P</t>
  </si>
  <si>
    <t>1049 P</t>
  </si>
  <si>
    <t>BUFNY P</t>
  </si>
  <si>
    <t>BUFFALO HUB</t>
  </si>
  <si>
    <t>1429 P</t>
  </si>
  <si>
    <t>BURMD N</t>
  </si>
  <si>
    <t>2079 N</t>
  </si>
  <si>
    <t>CAHSC T</t>
  </si>
  <si>
    <t>2919 T</t>
  </si>
  <si>
    <t>CCHIL D</t>
  </si>
  <si>
    <t>6059 D</t>
  </si>
  <si>
    <t>CHEMA P</t>
  </si>
  <si>
    <t>189 P</t>
  </si>
  <si>
    <t>CHEMA T</t>
  </si>
  <si>
    <t>189 T</t>
  </si>
  <si>
    <t>CHENY P</t>
  </si>
  <si>
    <t>CHESTER</t>
  </si>
  <si>
    <t>1251 P</t>
  </si>
  <si>
    <t>CHRDE P</t>
  </si>
  <si>
    <t>CHRISTIANA SORT</t>
  </si>
  <si>
    <t>1979 P</t>
  </si>
  <si>
    <t>COLOH T</t>
  </si>
  <si>
    <t>4329 T</t>
  </si>
  <si>
    <t>CRBNJ P</t>
  </si>
  <si>
    <t>889 P</t>
  </si>
  <si>
    <t>CRLPA P</t>
  </si>
  <si>
    <t>CARLISLE HIB</t>
  </si>
  <si>
    <t>1689 P</t>
  </si>
  <si>
    <t>DANCT P</t>
  </si>
  <si>
    <t>DANBURY</t>
  </si>
  <si>
    <t>680 P</t>
  </si>
  <si>
    <t>DENCO N</t>
  </si>
  <si>
    <t>DENVER</t>
  </si>
  <si>
    <t>8029 N</t>
  </si>
  <si>
    <t>DULVA P</t>
  </si>
  <si>
    <t>DULLES HUB</t>
  </si>
  <si>
    <t>2209 P</t>
  </si>
  <si>
    <t>EDINJ P</t>
  </si>
  <si>
    <t>EDISON</t>
  </si>
  <si>
    <t>899 P</t>
  </si>
  <si>
    <t>ELMNY P</t>
  </si>
  <si>
    <t>ELMSFORD SORT</t>
  </si>
  <si>
    <t>1069 P</t>
  </si>
  <si>
    <t>ENFCT P</t>
  </si>
  <si>
    <t>ENFIELD</t>
  </si>
  <si>
    <t>606 P</t>
  </si>
  <si>
    <t>EWR55 T</t>
  </si>
  <si>
    <t>NEWARK AIR SORT</t>
  </si>
  <si>
    <t>729 T</t>
  </si>
  <si>
    <t>EZRPA N</t>
  </si>
  <si>
    <t>EAST ZONE REGIONAL</t>
  </si>
  <si>
    <t>1729 N</t>
  </si>
  <si>
    <t>EZRPA S</t>
  </si>
  <si>
    <t>1729 S</t>
  </si>
  <si>
    <t>FLDIN T</t>
  </si>
  <si>
    <t>4628 T</t>
  </si>
  <si>
    <t>FOSNY P</t>
  </si>
  <si>
    <t>1129 P</t>
  </si>
  <si>
    <t>GAIMD N</t>
  </si>
  <si>
    <t>2049 N</t>
  </si>
  <si>
    <t>GDRAZ N</t>
  </si>
  <si>
    <t>GOODYEAR HUB</t>
  </si>
  <si>
    <t>8567 N</t>
  </si>
  <si>
    <t>GVICA D</t>
  </si>
  <si>
    <t>LA-GRANDE VISTA</t>
  </si>
  <si>
    <t>9029 D</t>
  </si>
  <si>
    <t>GVICA T</t>
  </si>
  <si>
    <t>9029 T</t>
  </si>
  <si>
    <t>HARCT N</t>
  </si>
  <si>
    <t>619 N</t>
  </si>
  <si>
    <t>HARCT P</t>
  </si>
  <si>
    <t>619 P</t>
  </si>
  <si>
    <t>HARDE P</t>
  </si>
  <si>
    <t>HARRINGTON</t>
  </si>
  <si>
    <t>1999 P</t>
  </si>
  <si>
    <t>HASTX D</t>
  </si>
  <si>
    <t>7687 D</t>
  </si>
  <si>
    <t>HASTX T</t>
  </si>
  <si>
    <t>7687 T</t>
  </si>
  <si>
    <t>HIAFL D</t>
  </si>
  <si>
    <t>HIALEAH</t>
  </si>
  <si>
    <t>3309 D</t>
  </si>
  <si>
    <t>HOMPA M</t>
  </si>
  <si>
    <t>HOMETOWN CENTER</t>
  </si>
  <si>
    <t>1820 M</t>
  </si>
  <si>
    <t>HOMPA P</t>
  </si>
  <si>
    <t>1820 P</t>
  </si>
  <si>
    <t>HUDNY P</t>
  </si>
  <si>
    <t>HUDSON</t>
  </si>
  <si>
    <t>1250 P</t>
  </si>
  <si>
    <t>ISLNY P</t>
  </si>
  <si>
    <t>1119 P</t>
  </si>
  <si>
    <t>JACFL D</t>
  </si>
  <si>
    <t>3229 D</t>
  </si>
  <si>
    <t>JEFIL M</t>
  </si>
  <si>
    <t>JEFFERSON ST</t>
  </si>
  <si>
    <t>6069 M</t>
  </si>
  <si>
    <t>JEFIL S</t>
  </si>
  <si>
    <t>6069 S</t>
  </si>
  <si>
    <t>KIGNY P</t>
  </si>
  <si>
    <t>KINGSTON SORT</t>
  </si>
  <si>
    <t>1249 P</t>
  </si>
  <si>
    <t>KNOTN T</t>
  </si>
  <si>
    <t>KNOXVILLE</t>
  </si>
  <si>
    <t>3799 T</t>
  </si>
  <si>
    <t>LAKNJ P</t>
  </si>
  <si>
    <t>NJLAK-LAKEWOOD</t>
  </si>
  <si>
    <t>871 P</t>
  </si>
  <si>
    <t>LANPA N</t>
  </si>
  <si>
    <t>1759 N</t>
  </si>
  <si>
    <t>LANPA P</t>
  </si>
  <si>
    <t>1759 P</t>
  </si>
  <si>
    <t>LAWNJ P</t>
  </si>
  <si>
    <t>LAWNSIDE SORT</t>
  </si>
  <si>
    <t>819 P</t>
  </si>
  <si>
    <t>LEXKY N</t>
  </si>
  <si>
    <t>4059 N</t>
  </si>
  <si>
    <t>LEXKY T</t>
  </si>
  <si>
    <t>4059 T</t>
  </si>
  <si>
    <t>M43NY N</t>
  </si>
  <si>
    <t>1009 N</t>
  </si>
  <si>
    <t>MANNO P</t>
  </si>
  <si>
    <t>MANHATTAN NORTH-EAST</t>
  </si>
  <si>
    <t>1014 P</t>
  </si>
  <si>
    <t>MANNY P</t>
  </si>
  <si>
    <t>MANHATTAN SOUTH</t>
  </si>
  <si>
    <t>1029 P</t>
  </si>
  <si>
    <t>MEANJ N</t>
  </si>
  <si>
    <t>709 N</t>
  </si>
  <si>
    <t>MEANJ P</t>
  </si>
  <si>
    <t>709 P</t>
  </si>
  <si>
    <t>MEBNC T</t>
  </si>
  <si>
    <t>2750 T</t>
  </si>
  <si>
    <t>MELNY P</t>
  </si>
  <si>
    <t>MELVILLE</t>
  </si>
  <si>
    <t>1189 P</t>
  </si>
  <si>
    <t>MESTX N</t>
  </si>
  <si>
    <t>MESQUITE</t>
  </si>
  <si>
    <t>7519 N</t>
  </si>
  <si>
    <t>MINMN N</t>
  </si>
  <si>
    <t>MINNEAPOLIS</t>
  </si>
  <si>
    <t>5549 N</t>
  </si>
  <si>
    <t>MOLNJ P</t>
  </si>
  <si>
    <t>MT. OLIVE HUB</t>
  </si>
  <si>
    <t>749 P</t>
  </si>
  <si>
    <t>MOUNY P</t>
  </si>
  <si>
    <t>MT VERNON SORT</t>
  </si>
  <si>
    <t>1089 P</t>
  </si>
  <si>
    <t>MQUNY P</t>
  </si>
  <si>
    <t>GLENDALE STATION</t>
  </si>
  <si>
    <t>1111 P</t>
  </si>
  <si>
    <t>MRHNH D</t>
  </si>
  <si>
    <t>NASHUA HIB</t>
  </si>
  <si>
    <t>395 D</t>
  </si>
  <si>
    <t>MRHNH T</t>
  </si>
  <si>
    <t>395 T</t>
  </si>
  <si>
    <t>NASNY N</t>
  </si>
  <si>
    <t>1159 N</t>
  </si>
  <si>
    <t>NASNY P</t>
  </si>
  <si>
    <t>1159 P</t>
  </si>
  <si>
    <t>NBACA D</t>
  </si>
  <si>
    <t>9489 D</t>
  </si>
  <si>
    <t>NEWPA D</t>
  </si>
  <si>
    <t>NEW STANTON</t>
  </si>
  <si>
    <t>1569 D</t>
  </si>
  <si>
    <t>NBLOH T</t>
  </si>
  <si>
    <t>4359 T</t>
  </si>
  <si>
    <t>NHACT P</t>
  </si>
  <si>
    <t>NORTH HAVEN</t>
  </si>
  <si>
    <t>652 P</t>
  </si>
  <si>
    <t>NIACT P</t>
  </si>
  <si>
    <t>NIANTIC</t>
  </si>
  <si>
    <t>635 P</t>
  </si>
  <si>
    <t>NORCT P</t>
  </si>
  <si>
    <t>NORWALK SORT</t>
  </si>
  <si>
    <t>699 P</t>
  </si>
  <si>
    <t>NORMA P</t>
  </si>
  <si>
    <t>NORWOOD HUB</t>
  </si>
  <si>
    <t>209 P</t>
  </si>
  <si>
    <t>NOWCT P</t>
  </si>
  <si>
    <t>NORWICH LOCAL SORT</t>
  </si>
  <si>
    <t>649 P</t>
  </si>
  <si>
    <t>NWCDE P</t>
  </si>
  <si>
    <t>NEW CASTLE</t>
  </si>
  <si>
    <t>1974 P</t>
  </si>
  <si>
    <t>NWINY P</t>
  </si>
  <si>
    <t>NEW WINDSOR</t>
  </si>
  <si>
    <t>1269 P</t>
  </si>
  <si>
    <t>ORACT P</t>
  </si>
  <si>
    <t>ORANGE</t>
  </si>
  <si>
    <t>647 P</t>
  </si>
  <si>
    <t>ORANJ P</t>
  </si>
  <si>
    <t>NEWARK SORT</t>
  </si>
  <si>
    <t>719 P</t>
  </si>
  <si>
    <t>OREPA P</t>
  </si>
  <si>
    <t>1919 P</t>
  </si>
  <si>
    <t>PALIL P</t>
  </si>
  <si>
    <t>PALATINE</t>
  </si>
  <si>
    <t>6029 P</t>
  </si>
  <si>
    <t>PARNJ N</t>
  </si>
  <si>
    <t>PARSIPPANY</t>
  </si>
  <si>
    <t>799 N</t>
  </si>
  <si>
    <t>PARNJ P</t>
  </si>
  <si>
    <t>799 P</t>
  </si>
  <si>
    <t>PHLPA N</t>
  </si>
  <si>
    <t>1949 N</t>
  </si>
  <si>
    <t>PHLPA P</t>
  </si>
  <si>
    <t>1949 P</t>
  </si>
  <si>
    <t>PLENJ P</t>
  </si>
  <si>
    <t>PLEASANTVILLE SORT</t>
  </si>
  <si>
    <t>829 P</t>
  </si>
  <si>
    <t>POTPA P</t>
  </si>
  <si>
    <t>POTTSVILLE CENTER</t>
  </si>
  <si>
    <t>1790 P</t>
  </si>
  <si>
    <t>POUNY P</t>
  </si>
  <si>
    <t>POUGHKEEPSIE</t>
  </si>
  <si>
    <t>1260 P</t>
  </si>
  <si>
    <t>PRORI D</t>
  </si>
  <si>
    <t>299 D</t>
  </si>
  <si>
    <t>PRORI T</t>
  </si>
  <si>
    <t>299 T</t>
  </si>
  <si>
    <t>RALNC T</t>
  </si>
  <si>
    <t>RALEIGH HUB</t>
  </si>
  <si>
    <t>2769 T</t>
  </si>
  <si>
    <t>REAPA P</t>
  </si>
  <si>
    <t>READING SORT</t>
  </si>
  <si>
    <t>1969 P</t>
  </si>
  <si>
    <t>RFDIL N</t>
  </si>
  <si>
    <t>ROCKFORD AIR HUB</t>
  </si>
  <si>
    <t>6119 N</t>
  </si>
  <si>
    <t>RICVA P</t>
  </si>
  <si>
    <t>2329 P</t>
  </si>
  <si>
    <t>SADNJ N</t>
  </si>
  <si>
    <t>759 N</t>
  </si>
  <si>
    <t>SADNJ P</t>
  </si>
  <si>
    <t>759 P</t>
  </si>
  <si>
    <t>SCRPA P</t>
  </si>
  <si>
    <t>SCRANTON SORT</t>
  </si>
  <si>
    <t>1859 P</t>
  </si>
  <si>
    <t>SDFAS D</t>
  </si>
  <si>
    <t>4009 D</t>
  </si>
  <si>
    <t>SDFAS N</t>
  </si>
  <si>
    <t>4009 N</t>
  </si>
  <si>
    <t>SMAGA T</t>
  </si>
  <si>
    <t>3033 T</t>
  </si>
  <si>
    <t>SPOWA D</t>
  </si>
  <si>
    <t>SPOKANE</t>
  </si>
  <si>
    <t>9929 D</t>
  </si>
  <si>
    <t>STATN P</t>
  </si>
  <si>
    <t>NYSTI-STATEN ISLAND</t>
  </si>
  <si>
    <t>1030 P</t>
  </si>
  <si>
    <t>STRCT P</t>
  </si>
  <si>
    <t>STRATFORD</t>
  </si>
  <si>
    <t>669 P</t>
  </si>
  <si>
    <t>STRPA P</t>
  </si>
  <si>
    <t>STROUDSBURG</t>
  </si>
  <si>
    <t>1830 P</t>
  </si>
  <si>
    <t>SVANY P</t>
  </si>
  <si>
    <t>SPRING VALLEY-SP. V.</t>
  </si>
  <si>
    <t>1090 P</t>
  </si>
  <si>
    <t>SYRNY N</t>
  </si>
  <si>
    <t>1329 N</t>
  </si>
  <si>
    <t>TFANJ P</t>
  </si>
  <si>
    <t>TINTON FALLS</t>
  </si>
  <si>
    <t>779 P</t>
  </si>
  <si>
    <t>TOLOH T</t>
  </si>
  <si>
    <t>TOLEDO HUB</t>
  </si>
  <si>
    <t>4369 T</t>
  </si>
  <si>
    <t>TOMWA T</t>
  </si>
  <si>
    <t>PORT OF TACOMA HUB</t>
  </si>
  <si>
    <t>9847 T</t>
  </si>
  <si>
    <t>TRENJ M</t>
  </si>
  <si>
    <t>TRENTON SORT</t>
  </si>
  <si>
    <t>869 M</t>
  </si>
  <si>
    <t>TRENJ P</t>
  </si>
  <si>
    <t>869 P</t>
  </si>
  <si>
    <t>VINNJ P</t>
  </si>
  <si>
    <t>VINELAND SORT</t>
  </si>
  <si>
    <t>839 P</t>
  </si>
  <si>
    <t>WASDC P</t>
  </si>
  <si>
    <t>DC SORT</t>
  </si>
  <si>
    <t>2019 P</t>
  </si>
  <si>
    <t>WATCT P</t>
  </si>
  <si>
    <t>679 P</t>
  </si>
  <si>
    <t>WATERTOWN HUB</t>
  </si>
  <si>
    <t>219 P</t>
  </si>
  <si>
    <t>WBAPA P</t>
  </si>
  <si>
    <t>1869 P</t>
  </si>
  <si>
    <t>WCHPA P</t>
  </si>
  <si>
    <t>1939 P</t>
  </si>
  <si>
    <t>WILPA D</t>
  </si>
  <si>
    <t>1909 D</t>
  </si>
  <si>
    <t>WILPA P</t>
  </si>
  <si>
    <t>1909 P</t>
  </si>
  <si>
    <t>WORMA D</t>
  </si>
  <si>
    <t>WORCHESTER</t>
  </si>
  <si>
    <t>169 D</t>
  </si>
  <si>
    <t>WORMA P</t>
  </si>
  <si>
    <t>169 P</t>
  </si>
  <si>
    <t>YORNY P</t>
  </si>
  <si>
    <t>YORKTOWN CENTER</t>
  </si>
  <si>
    <t>1050 P</t>
  </si>
  <si>
    <t>SYRNY P</t>
  </si>
  <si>
    <t>1329 P</t>
  </si>
  <si>
    <t>BURMD P</t>
  </si>
  <si>
    <t>2079 P</t>
  </si>
  <si>
    <t>HENNY P</t>
  </si>
  <si>
    <t>HENRIETTA</t>
  </si>
  <si>
    <t>1449 P</t>
  </si>
  <si>
    <t>VIRVA P</t>
  </si>
  <si>
    <t>VIRGINIA BEACH</t>
  </si>
  <si>
    <t>2349 P</t>
  </si>
  <si>
    <t>NWTVA P</t>
  </si>
  <si>
    <t>NEWINGTON SORT</t>
  </si>
  <si>
    <t>2249 P</t>
  </si>
  <si>
    <t>REAPA M</t>
  </si>
  <si>
    <t>1969 M</t>
  </si>
  <si>
    <t>NEWPA T</t>
  </si>
  <si>
    <t>1569 T</t>
  </si>
  <si>
    <t>OREPA N</t>
  </si>
  <si>
    <t>1919 N</t>
  </si>
  <si>
    <t>ALEVA P</t>
  </si>
  <si>
    <t>Alexandria Sort</t>
  </si>
  <si>
    <t>2229 P</t>
  </si>
  <si>
    <t>PRORI P</t>
  </si>
  <si>
    <t>299 P</t>
  </si>
  <si>
    <t>CRBNJ N</t>
  </si>
  <si>
    <t>889 N</t>
  </si>
  <si>
    <t>WHITN T</t>
  </si>
  <si>
    <t>3719 T</t>
  </si>
  <si>
    <t>BETPA N</t>
  </si>
  <si>
    <t>1809 N</t>
  </si>
  <si>
    <t>LEXKY P</t>
  </si>
  <si>
    <t>4059 P</t>
  </si>
  <si>
    <t>LCHKY P</t>
  </si>
  <si>
    <t>LOUISVILLE CENTENNIAL HUB</t>
  </si>
  <si>
    <t>4029 P</t>
  </si>
  <si>
    <t>SDFAS T</t>
  </si>
  <si>
    <t>4009 T</t>
  </si>
  <si>
    <t>EMPCA T</t>
  </si>
  <si>
    <t>9119 T</t>
  </si>
  <si>
    <t>NNEVA P</t>
  </si>
  <si>
    <t>NEWPORT NEWS SORT</t>
  </si>
  <si>
    <t>2369 P</t>
  </si>
  <si>
    <t>EMPCA A</t>
  </si>
  <si>
    <t>9119 A</t>
  </si>
  <si>
    <t>WHITN N</t>
  </si>
  <si>
    <t>3719 N</t>
  </si>
  <si>
    <t>PD1</t>
  </si>
  <si>
    <t>PD2</t>
  </si>
  <si>
    <t>PD3</t>
  </si>
  <si>
    <t>PD4</t>
  </si>
  <si>
    <t>PD5</t>
  </si>
  <si>
    <t>0810 P</t>
  </si>
  <si>
    <t>VIRPA P</t>
  </si>
  <si>
    <t>EZPRA N</t>
  </si>
  <si>
    <t>WHITN P</t>
  </si>
  <si>
    <t>0816 P</t>
  </si>
  <si>
    <t>0804 P</t>
  </si>
  <si>
    <t>Destination</t>
  </si>
  <si>
    <t>Week Ending</t>
  </si>
  <si>
    <t>Load Information Lookup.Destinations</t>
  </si>
  <si>
    <t>Outbound Lineup.Column3</t>
  </si>
  <si>
    <t>BETPA Twilight Cube Utilization Report</t>
  </si>
  <si>
    <t>Utilization Goal</t>
  </si>
  <si>
    <t>Utilization Actual</t>
  </si>
  <si>
    <t>Difference</t>
  </si>
  <si>
    <t>Sort Totals</t>
  </si>
  <si>
    <t>Total Cost</t>
  </si>
  <si>
    <t>Outbound Rank</t>
  </si>
  <si>
    <t>Top 5 Best Destinations</t>
  </si>
  <si>
    <t>Top 5 Most to Gain Destinations</t>
  </si>
  <si>
    <t>Cost</t>
  </si>
  <si>
    <t>Row Labels</t>
  </si>
  <si>
    <t>Grand Total</t>
  </si>
  <si>
    <t>Sum of Total Loaded Cube</t>
  </si>
  <si>
    <t>Sum of Total Equip Cap</t>
  </si>
  <si>
    <t>Sum of Total Mvmt $</t>
  </si>
  <si>
    <t>Sum of Total Utilization</t>
  </si>
  <si>
    <t>Sum of Total Loads</t>
  </si>
  <si>
    <t>Area</t>
  </si>
  <si>
    <t>Utilization</t>
  </si>
  <si>
    <t>To Plan</t>
  </si>
  <si>
    <t>Loads Built</t>
  </si>
  <si>
    <t>Loaded Cube</t>
  </si>
  <si>
    <t>Cube Capacity</t>
  </si>
  <si>
    <t>Daily Report</t>
  </si>
  <si>
    <t xml:space="preserve">Weekly Report </t>
  </si>
  <si>
    <t>Outbounds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</si>
</sst>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1"/>
      <color theme="1"/>
      <name val="Aptos Narrow"/>
      <family val="2"/>
      <scheme val="minor"/>
    </font>
    <font>
      <sz val="8"/>
      <name val="Aptos Narrow"/>
      <family val="2"/>
      <scheme val="minor"/>
    </font>
    <font>
      <sz val="11"/>
      <color theme="1"/>
      <name val="Aptos Narrow"/>
      <family val="2"/>
      <scheme val="minor"/>
    </font>
    <font>
      <u/>
      <sz val="11"/>
      <color theme="1"/>
      <name val="Aptos Narrow"/>
      <family val="2"/>
      <scheme val="minor"/>
    </font>
    <font>
      <b/>
      <u/>
      <sz val="14"/>
      <color theme="1"/>
      <name val="Aptos Narrow"/>
      <family val="2"/>
      <scheme val="minor"/>
    </font>
    <font>
      <u/>
      <sz val="12"/>
      <color theme="1"/>
      <name val="Aptos Narrow"/>
      <family val="2"/>
      <scheme val="minor"/>
    </font>
    <font>
      <u/>
      <sz val="18"/>
      <color theme="1"/>
      <name val="Aptos Narrow"/>
      <family val="2"/>
      <scheme val="minor"/>
    </font>
    <font>
      <b/>
      <u/>
      <sz val="22"/>
      <color theme="1"/>
      <name val="Aptos Narrow"/>
      <family val="2"/>
      <scheme val="minor"/>
    </font>
    <font>
      <sz val="14"/>
      <color theme="1"/>
      <name val="Aptos Narrow"/>
      <family val="2"/>
      <scheme val="minor"/>
    </font>
    <font>
      <b/>
      <u/>
      <sz val="12"/>
      <color theme="1"/>
      <name val="Aptos Narrow"/>
      <family val="2"/>
      <scheme val="minor"/>
    </font>
    <font>
      <sz val="12"/>
      <color theme="1"/>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rgb="FFFF7C80"/>
        <bgColor indexed="64"/>
      </patternFill>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0" fontId="0" fillId="0" borderId="0" xfId="2" applyNumberFormat="1" applyFont="1"/>
    <xf numFmtId="10"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xf>
    <xf numFmtId="0" fontId="3" fillId="0" borderId="0" xfId="0" applyFont="1"/>
    <xf numFmtId="0" fontId="3" fillId="0" borderId="11" xfId="0" applyFont="1" applyBorder="1"/>
    <xf numFmtId="14" fontId="0" fillId="0" borderId="0" xfId="0" applyNumberFormat="1" applyAlignment="1">
      <alignment horizontal="left"/>
    </xf>
    <xf numFmtId="0" fontId="0" fillId="0" borderId="12" xfId="0" applyBorder="1"/>
    <xf numFmtId="44" fontId="0" fillId="0" borderId="0" xfId="0" applyNumberFormat="1"/>
    <xf numFmtId="10" fontId="10" fillId="0" borderId="10" xfId="0" applyNumberFormat="1" applyFont="1" applyBorder="1"/>
    <xf numFmtId="10" fontId="10" fillId="0" borderId="10" xfId="2" applyNumberFormat="1" applyFont="1" applyBorder="1"/>
    <xf numFmtId="0" fontId="10" fillId="0" borderId="10" xfId="0" applyFont="1" applyBorder="1" applyAlignment="1">
      <alignment horizontal="center"/>
    </xf>
    <xf numFmtId="0" fontId="10" fillId="0" borderId="10" xfId="0" applyFont="1" applyBorder="1"/>
    <xf numFmtId="44" fontId="10" fillId="0" borderId="10" xfId="1" applyFont="1" applyBorder="1"/>
    <xf numFmtId="0" fontId="5" fillId="3" borderId="10" xfId="0" applyFont="1" applyFill="1" applyBorder="1" applyAlignment="1">
      <alignment horizontal="center"/>
    </xf>
    <xf numFmtId="0" fontId="10" fillId="0" borderId="0" xfId="0" applyFont="1"/>
    <xf numFmtId="0" fontId="10" fillId="0" borderId="10" xfId="0" applyFont="1" applyBorder="1" applyAlignment="1">
      <alignment horizontal="right"/>
    </xf>
    <xf numFmtId="0" fontId="10" fillId="2" borderId="10" xfId="0" applyFont="1" applyFill="1" applyBorder="1" applyAlignment="1">
      <alignment horizontal="center"/>
    </xf>
    <xf numFmtId="10" fontId="10" fillId="2" borderId="10" xfId="2" applyNumberFormat="1" applyFont="1" applyFill="1" applyBorder="1"/>
    <xf numFmtId="10" fontId="10" fillId="2" borderId="10" xfId="0" applyNumberFormat="1" applyFont="1" applyFill="1" applyBorder="1"/>
    <xf numFmtId="44" fontId="10" fillId="2" borderId="10" xfId="1" applyFont="1" applyFill="1" applyBorder="1"/>
    <xf numFmtId="0" fontId="10" fillId="2" borderId="10" xfId="0" applyFont="1" applyFill="1" applyBorder="1" applyAlignment="1">
      <alignment horizontal="right"/>
    </xf>
    <xf numFmtId="0" fontId="10" fillId="2" borderId="10" xfId="0" applyFont="1" applyFill="1" applyBorder="1"/>
    <xf numFmtId="0" fontId="0" fillId="0" borderId="11" xfId="0" applyBorder="1"/>
    <xf numFmtId="0" fontId="9" fillId="5" borderId="0" xfId="0" applyFont="1" applyFill="1" applyAlignment="1">
      <alignment horizontal="center"/>
    </xf>
    <xf numFmtId="0" fontId="10" fillId="0" borderId="10" xfId="0" applyFont="1" applyBorder="1" applyAlignment="1">
      <alignment horizontal="center"/>
    </xf>
    <xf numFmtId="0" fontId="9" fillId="4" borderId="0" xfId="0" applyFont="1" applyFill="1" applyAlignment="1">
      <alignment horizontal="center"/>
    </xf>
    <xf numFmtId="0" fontId="5" fillId="0" borderId="10" xfId="0" applyFont="1" applyBorder="1" applyAlignment="1">
      <alignment horizontal="center"/>
    </xf>
    <xf numFmtId="0" fontId="4" fillId="0" borderId="9" xfId="0" applyFont="1" applyBorder="1" applyAlignment="1">
      <alignment horizontal="center"/>
    </xf>
    <xf numFmtId="14" fontId="8" fillId="0" borderId="11" xfId="0" applyNumberFormat="1" applyFont="1" applyBorder="1" applyAlignment="1">
      <alignment horizontal="center" vertical="center"/>
    </xf>
    <xf numFmtId="0" fontId="8" fillId="0" borderId="11" xfId="0" applyFont="1" applyBorder="1" applyAlignment="1">
      <alignment horizontal="center" vertical="center"/>
    </xf>
    <xf numFmtId="0" fontId="4" fillId="0" borderId="0" xfId="0" applyFont="1" applyAlignment="1">
      <alignment horizontal="center"/>
    </xf>
    <xf numFmtId="0" fontId="7" fillId="0" borderId="0" xfId="0" applyFont="1" applyAlignment="1">
      <alignment horizontal="center" vertical="center"/>
    </xf>
    <xf numFmtId="0" fontId="6" fillId="0" borderId="0" xfId="0" applyFont="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NumberFormat="1"/>
  </cellXfs>
  <cellStyles count="3">
    <cellStyle name="Currency" xfId="1" builtinId="4"/>
    <cellStyle name="Normal" xfId="0" builtinId="0"/>
    <cellStyle name="Percent" xfId="2" builtinId="5"/>
  </cellStyles>
  <dxfs count="17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color rgb="FF9C0006"/>
      </font>
    </dxf>
    <dxf>
      <font>
        <color rgb="FF006100"/>
      </font>
      <fill>
        <patternFill patternType="none">
          <bgColor auto="1"/>
        </patternFill>
      </fill>
    </dxf>
    <dxf>
      <font>
        <color rgb="FF9C0006"/>
      </font>
    </dxf>
    <dxf>
      <font>
        <color rgb="FF006100"/>
      </font>
      <fill>
        <patternFill patternType="none">
          <bgColor auto="1"/>
        </patternFill>
      </fill>
    </dxf>
    <dxf>
      <font>
        <color rgb="FF9C0006"/>
      </font>
    </dxf>
    <dxf>
      <font>
        <color rgb="FF006100"/>
      </font>
      <fill>
        <patternFill patternType="none">
          <bgColor auto="1"/>
        </patternFill>
      </fill>
    </dxf>
    <dxf>
      <font>
        <color rgb="FF006100"/>
      </font>
      <fill>
        <patternFill patternType="none">
          <bgColor auto="1"/>
        </patternFill>
      </fill>
    </dxf>
    <dxf>
      <font>
        <color rgb="FF9C0006"/>
      </font>
    </dxf>
    <dxf>
      <font>
        <color rgb="FF9C0006"/>
      </font>
    </dxf>
    <dxf>
      <font>
        <color rgb="FF006100"/>
      </font>
      <fill>
        <patternFill patternType="none">
          <bgColor auto="1"/>
        </patternFill>
      </fill>
    </dxf>
    <dxf>
      <font>
        <color rgb="FF006100"/>
      </font>
      <fill>
        <patternFill patternType="none">
          <bgColor auto="1"/>
        </patternFill>
      </fill>
    </dxf>
    <dxf>
      <font>
        <color rgb="FF9C0006"/>
      </font>
    </dxf>
    <dxf>
      <font>
        <color rgb="FF006100"/>
      </font>
      <fill>
        <patternFill patternType="none">
          <bgColor auto="1"/>
        </patternFill>
      </fill>
    </dxf>
    <dxf>
      <font>
        <color rgb="FF9C0006"/>
      </font>
    </dxf>
    <dxf>
      <font>
        <color rgb="FF006100"/>
      </font>
      <fill>
        <patternFill patternType="none">
          <bgColor auto="1"/>
        </patternFill>
      </fill>
    </dxf>
    <dxf>
      <font>
        <color rgb="FF9C0006"/>
      </font>
    </dxf>
    <dxf>
      <font>
        <color rgb="FF006100"/>
      </font>
      <fill>
        <patternFill patternType="none">
          <bgColor auto="1"/>
        </patternFill>
      </fill>
    </dxf>
    <dxf>
      <font>
        <color rgb="FF9C0006"/>
      </font>
    </dxf>
    <dxf>
      <font>
        <color rgb="FF9C0006"/>
      </font>
    </dxf>
    <dxf>
      <font>
        <color rgb="FF006100"/>
      </font>
      <fill>
        <patternFill patternType="none">
          <bgColor auto="1"/>
        </patternFill>
      </fill>
    </dxf>
    <dxf>
      <font>
        <color rgb="FF9C0006"/>
      </font>
    </dxf>
    <dxf>
      <font>
        <color rgb="FF006100"/>
      </font>
      <fill>
        <patternFill patternType="none">
          <bgColor auto="1"/>
        </patternFill>
      </fill>
    </dxf>
    <dxf>
      <font>
        <color rgb="FF006100"/>
      </font>
      <fill>
        <patternFill patternType="none">
          <bgColor auto="1"/>
        </patternFill>
      </fill>
    </dxf>
    <dxf>
      <font>
        <color rgb="FF9C0006"/>
      </font>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19" formatCode="m/d/yyyy"/>
    </dxf>
    <dxf>
      <numFmt numFmtId="19" formatCode="m/d/yyyy"/>
    </dxf>
  </dxfs>
  <tableStyles count="0" defaultTableStyle="TableStyleMedium2" defaultPivotStyle="PivotStyleLight16"/>
  <colors>
    <mruColors>
      <color rgb="FFFF7C8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15</xdr:col>
      <xdr:colOff>22226</xdr:colOff>
      <xdr:row>8</xdr:row>
      <xdr:rowOff>6350</xdr:rowOff>
    </xdr:from>
    <xdr:to>
      <xdr:col>18</xdr:col>
      <xdr:colOff>18748</xdr:colOff>
      <xdr:row>18</xdr:row>
      <xdr:rowOff>127000</xdr:rowOff>
    </xdr:to>
    <mc:AlternateContent xmlns:mc="http://schemas.openxmlformats.org/markup-compatibility/2006" xmlns:a14="http://schemas.microsoft.com/office/drawing/2010/main">
      <mc:Choice Requires="a14">
        <xdr:graphicFrame macro="">
          <xdr:nvGraphicFramePr>
            <xdr:cNvPr id="2" name="Ld Create Dt 1">
              <a:extLst>
                <a:ext uri="{FF2B5EF4-FFF2-40B4-BE49-F238E27FC236}">
                  <a16:creationId xmlns:a16="http://schemas.microsoft.com/office/drawing/2014/main" id="{B6D43249-AE97-4EE7-B140-E5CB7E657BF8}"/>
                </a:ext>
              </a:extLst>
            </xdr:cNvPr>
            <xdr:cNvGraphicFramePr/>
          </xdr:nvGraphicFramePr>
          <xdr:xfrm>
            <a:off x="0" y="0"/>
            <a:ext cx="0" cy="0"/>
          </xdr:xfrm>
          <a:graphic>
            <a:graphicData uri="http://schemas.microsoft.com/office/drawing/2010/slicer">
              <sle:slicer xmlns:sle="http://schemas.microsoft.com/office/drawing/2010/slicer" name="Ld Create Dt 1"/>
            </a:graphicData>
          </a:graphic>
        </xdr:graphicFrame>
      </mc:Choice>
      <mc:Fallback xmlns="">
        <xdr:sp macro="" textlink="">
          <xdr:nvSpPr>
            <xdr:cNvPr id="0" name=""/>
            <xdr:cNvSpPr>
              <a:spLocks noTextEdit="1"/>
            </xdr:cNvSpPr>
          </xdr:nvSpPr>
          <xdr:spPr>
            <a:xfrm>
              <a:off x="12140143" y="1943100"/>
              <a:ext cx="1838022"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12</xdr:col>
      <xdr:colOff>11641</xdr:colOff>
      <xdr:row>8</xdr:row>
      <xdr:rowOff>7408</xdr:rowOff>
    </xdr:from>
    <xdr:to>
      <xdr:col>15</xdr:col>
      <xdr:colOff>8164</xdr:colOff>
      <xdr:row>18</xdr:row>
      <xdr:rowOff>127000</xdr:rowOff>
    </xdr:to>
    <mc:AlternateContent xmlns:mc="http://schemas.openxmlformats.org/markup-compatibility/2006" xmlns:a14="http://schemas.microsoft.com/office/drawing/2010/main">
      <mc:Choice Requires="a14">
        <xdr:graphicFrame macro="">
          <xdr:nvGraphicFramePr>
            <xdr:cNvPr id="3" name="Week Ending 1">
              <a:extLst>
                <a:ext uri="{FF2B5EF4-FFF2-40B4-BE49-F238E27FC236}">
                  <a16:creationId xmlns:a16="http://schemas.microsoft.com/office/drawing/2014/main" id="{40731CA9-17F5-43BD-B6C0-DE428D52D074}"/>
                </a:ext>
              </a:extLst>
            </xdr:cNvPr>
            <xdr:cNvGraphicFramePr/>
          </xdr:nvGraphicFramePr>
          <xdr:xfrm>
            <a:off x="0" y="0"/>
            <a:ext cx="0" cy="0"/>
          </xdr:xfrm>
          <a:graphic>
            <a:graphicData uri="http://schemas.microsoft.com/office/drawing/2010/slicer">
              <sle:slicer xmlns:sle="http://schemas.microsoft.com/office/drawing/2010/slicer" name="Week Ending 1"/>
            </a:graphicData>
          </a:graphic>
        </xdr:graphicFrame>
      </mc:Choice>
      <mc:Fallback xmlns="">
        <xdr:sp macro="" textlink="">
          <xdr:nvSpPr>
            <xdr:cNvPr id="0" name=""/>
            <xdr:cNvSpPr>
              <a:spLocks noTextEdit="1"/>
            </xdr:cNvSpPr>
          </xdr:nvSpPr>
          <xdr:spPr>
            <a:xfrm>
              <a:off x="10288058" y="1944158"/>
              <a:ext cx="1838023" cy="2151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yton Geils" refreshedDate="46230.929978125001" createdVersion="8" refreshedVersion="8" minRefreshableVersion="3" recordCount="207" xr:uid="{D78ADE4F-D28F-4E66-81C3-AF49D17300FD}">
  <cacheSource type="worksheet">
    <worksheetSource name="Cube_Utilization_Data"/>
  </cacheSource>
  <cacheFields count="12">
    <cacheField name="Week Ending" numFmtId="14">
      <sharedItems containsSemiMixedTypes="0" containsNonDate="0" containsDate="1" containsString="0" minDate="2025-03-01T00:00:00" maxDate="2025-03-09T00:00:00" count="2">
        <d v="2025-03-01T00:00:00"/>
        <d v="2025-03-08T00:00:00"/>
      </sharedItems>
    </cacheField>
    <cacheField name="Ld Create Dt" numFmtId="14">
      <sharedItems containsSemiMixedTypes="0" containsNonDate="0" containsDate="1" containsString="0" minDate="2025-02-24T00:00:00" maxDate="2025-03-06T00:00:00" count="8">
        <d v="2025-02-24T00:00:00"/>
        <d v="2025-02-26T00:00:00"/>
        <d v="2025-03-05T00:00:00"/>
        <d v="2025-02-25T00:00:00"/>
        <d v="2025-02-27T00:00:00"/>
        <d v="2025-02-28T00:00:00"/>
        <d v="2025-03-03T00:00:00"/>
        <d v="2025-03-04T00:00:00"/>
      </sharedItems>
      <fieldGroup par="10"/>
    </cacheField>
    <cacheField name="Load Information Lookup.Destinations" numFmtId="0">
      <sharedItems count="42">
        <s v="SDFAS D"/>
        <s v="SYRNY N"/>
        <s v="CHEMA T"/>
        <s v="PHLPA P"/>
        <s v="MEANJ N"/>
        <s v="MEBNC T"/>
        <s v="GAIMD N"/>
        <s v="HASTX D"/>
        <s v="M43NY N"/>
        <s v="BAYNJ N"/>
        <s v="BRUNY P"/>
        <s v="EZRPA N"/>
        <s v="BURMD N"/>
        <s v="EZRPA S"/>
        <s v="CAHSC T"/>
        <s v="OREPA P"/>
        <s v="FOSNY P"/>
        <s v="LANPA P"/>
        <s v="NASNY P"/>
        <s v="ALLPA P"/>
        <s v="JACFL D"/>
        <s v="WILPA P"/>
        <s v="PRORI T"/>
        <s v="NBLOH T"/>
        <s v="CCHIL D"/>
        <s v="COLOH T"/>
        <s v="WCHPA P"/>
        <s v="NBACA D"/>
        <s v="WHITN N"/>
        <s v="FLDIN T"/>
        <s v="SMAGA T"/>
        <s v="EMPCA T"/>
        <s v="SADNJ N"/>
        <s v="WATCT P"/>
        <s v="EMPCA A"/>
        <s v="HARCT N"/>
        <s v="HASTX T"/>
        <s v="ISLNY P"/>
        <s v="LEXKY T"/>
        <s v="CRBNJ N"/>
        <s v="RICVA P"/>
        <s v="WBAPA P"/>
      </sharedItems>
    </cacheField>
    <cacheField name="Outbound Lineup.Column3" numFmtId="0">
      <sharedItems count="5">
        <s v="PD2"/>
        <s v="PD1"/>
        <s v="PD4"/>
        <s v="PD3"/>
        <s v="PD5"/>
      </sharedItems>
    </cacheField>
    <cacheField name="Total Loads" numFmtId="0">
      <sharedItems containsSemiMixedTypes="0" containsString="0" containsNumber="1" containsInteger="1" minValue="1" maxValue="4"/>
    </cacheField>
    <cacheField name="Total Loaded Cube" numFmtId="0">
      <sharedItems containsSemiMixedTypes="0" containsString="0" containsNumber="1" containsInteger="1" minValue="26" maxValue="10105"/>
    </cacheField>
    <cacheField name="Total Equip Cap" numFmtId="0">
      <sharedItems containsSemiMixedTypes="0" containsString="0" containsNumber="1" containsInteger="1" minValue="1926" maxValue="15320"/>
    </cacheField>
    <cacheField name="Total Mvmt $" numFmtId="0">
      <sharedItems containsSemiMixedTypes="0" containsString="0" containsNumber="1" minValue="25.5" maxValue="5276.92"/>
    </cacheField>
    <cacheField name="Destination" numFmtId="0">
      <sharedItems/>
    </cacheField>
    <cacheField name="Days (Ld Create Dt)" numFmtId="0" databaseField="0">
      <fieldGroup base="1">
        <rangePr groupBy="days" startDate="2025-02-24T00:00:00" endDate="2025-03-06T00:00:00"/>
        <groupItems count="368">
          <s v="&lt;2/2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6/2025"/>
        </groupItems>
      </fieldGroup>
    </cacheField>
    <cacheField name="Months (Ld Create Dt)" numFmtId="0" databaseField="0">
      <fieldGroup base="1">
        <rangePr groupBy="months" startDate="2025-02-24T00:00:00" endDate="2025-03-06T00:00:00"/>
        <groupItems count="14">
          <s v="&lt;2/24/2025"/>
          <s v="Jan"/>
          <s v="Feb"/>
          <s v="Mar"/>
          <s v="Apr"/>
          <s v="May"/>
          <s v="Jun"/>
          <s v="Jul"/>
          <s v="Aug"/>
          <s v="Sep"/>
          <s v="Oct"/>
          <s v="Nov"/>
          <s v="Dec"/>
          <s v="&gt;3/6/2025"/>
        </groupItems>
      </fieldGroup>
    </cacheField>
    <cacheField name="Total Utilization" numFmtId="0" formula="'Total Loaded Cube'/'Total Equip Cap'" databaseField="0"/>
  </cacheFields>
  <extLst>
    <ext xmlns:x14="http://schemas.microsoft.com/office/spreadsheetml/2009/9/main" uri="{725AE2AE-9491-48be-B2B4-4EB974FC3084}">
      <x14:pivotCacheDefinition pivotCacheId="1710020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x v="0"/>
    <x v="0"/>
    <x v="0"/>
    <x v="0"/>
    <n v="1"/>
    <n v="552"/>
    <n v="1982"/>
    <n v="601"/>
    <s v="4009 D"/>
  </r>
  <r>
    <x v="0"/>
    <x v="1"/>
    <x v="0"/>
    <x v="0"/>
    <n v="1"/>
    <n v="26"/>
    <n v="1982"/>
    <n v="600.54"/>
    <s v="4009 D"/>
  </r>
  <r>
    <x v="1"/>
    <x v="2"/>
    <x v="0"/>
    <x v="0"/>
    <n v="1"/>
    <n v="685"/>
    <n v="1982"/>
    <n v="600.54"/>
    <s v="4009 D"/>
  </r>
  <r>
    <x v="0"/>
    <x v="0"/>
    <x v="1"/>
    <x v="1"/>
    <n v="3"/>
    <n v="6125"/>
    <n v="9642"/>
    <n v="899.48"/>
    <s v="1329 N"/>
  </r>
  <r>
    <x v="0"/>
    <x v="0"/>
    <x v="1"/>
    <x v="1"/>
    <n v="3"/>
    <n v="6125"/>
    <n v="9642"/>
    <n v="899.48"/>
    <s v="1329 N"/>
  </r>
  <r>
    <x v="0"/>
    <x v="3"/>
    <x v="1"/>
    <x v="1"/>
    <n v="2"/>
    <n v="2550"/>
    <n v="5812"/>
    <n v="539.69000000000005"/>
    <s v="1329 N"/>
  </r>
  <r>
    <x v="0"/>
    <x v="3"/>
    <x v="1"/>
    <x v="1"/>
    <n v="2"/>
    <n v="2550"/>
    <n v="5812"/>
    <n v="539.69000000000005"/>
    <s v="1329 N"/>
  </r>
  <r>
    <x v="0"/>
    <x v="1"/>
    <x v="1"/>
    <x v="1"/>
    <n v="1"/>
    <n v="2221"/>
    <n v="3818"/>
    <n v="372.32"/>
    <s v="1329 N"/>
  </r>
  <r>
    <x v="0"/>
    <x v="1"/>
    <x v="1"/>
    <x v="1"/>
    <n v="1"/>
    <n v="2221"/>
    <n v="3818"/>
    <n v="372.32"/>
    <s v="1329 N"/>
  </r>
  <r>
    <x v="0"/>
    <x v="4"/>
    <x v="1"/>
    <x v="1"/>
    <n v="2"/>
    <n v="4174"/>
    <n v="5800"/>
    <n v="540"/>
    <s v="1329 N"/>
  </r>
  <r>
    <x v="0"/>
    <x v="4"/>
    <x v="1"/>
    <x v="1"/>
    <n v="2"/>
    <n v="4174"/>
    <n v="5800"/>
    <n v="540"/>
    <s v="1329 N"/>
  </r>
  <r>
    <x v="0"/>
    <x v="5"/>
    <x v="1"/>
    <x v="1"/>
    <n v="2"/>
    <n v="4069"/>
    <n v="5800"/>
    <n v="552"/>
    <s v="1329 N"/>
  </r>
  <r>
    <x v="0"/>
    <x v="5"/>
    <x v="1"/>
    <x v="1"/>
    <n v="2"/>
    <n v="4069"/>
    <n v="5800"/>
    <n v="552"/>
    <s v="1329 N"/>
  </r>
  <r>
    <x v="1"/>
    <x v="6"/>
    <x v="1"/>
    <x v="1"/>
    <n v="2"/>
    <n v="5606"/>
    <n v="7648"/>
    <n v="720"/>
    <s v="1329 N"/>
  </r>
  <r>
    <x v="1"/>
    <x v="6"/>
    <x v="1"/>
    <x v="1"/>
    <n v="2"/>
    <n v="5606"/>
    <n v="7648"/>
    <n v="720"/>
    <s v="1329 N"/>
  </r>
  <r>
    <x v="1"/>
    <x v="7"/>
    <x v="1"/>
    <x v="1"/>
    <n v="2"/>
    <n v="3136"/>
    <n v="5800"/>
    <n v="539.69000000000005"/>
    <s v="1329 N"/>
  </r>
  <r>
    <x v="1"/>
    <x v="7"/>
    <x v="1"/>
    <x v="1"/>
    <n v="2"/>
    <n v="3136"/>
    <n v="5800"/>
    <n v="539.69000000000005"/>
    <s v="1329 N"/>
  </r>
  <r>
    <x v="0"/>
    <x v="0"/>
    <x v="2"/>
    <x v="2"/>
    <n v="1"/>
    <n v="1021"/>
    <n v="3230"/>
    <n v="560.27"/>
    <s v="189 T"/>
  </r>
  <r>
    <x v="0"/>
    <x v="0"/>
    <x v="3"/>
    <x v="2"/>
    <n v="1"/>
    <n v="1246"/>
    <n v="3830"/>
    <n v="216.75"/>
    <s v="1949 P"/>
  </r>
  <r>
    <x v="0"/>
    <x v="0"/>
    <x v="4"/>
    <x v="2"/>
    <n v="1"/>
    <n v="1524"/>
    <n v="3830"/>
    <n v="214.2"/>
    <s v="709 N"/>
  </r>
  <r>
    <x v="0"/>
    <x v="3"/>
    <x v="4"/>
    <x v="2"/>
    <n v="2"/>
    <n v="3824"/>
    <n v="7660"/>
    <n v="428"/>
    <s v="709 N"/>
  </r>
  <r>
    <x v="0"/>
    <x v="1"/>
    <x v="4"/>
    <x v="2"/>
    <n v="1"/>
    <n v="166"/>
    <n v="1982"/>
    <n v="107.1"/>
    <s v="709 N"/>
  </r>
  <r>
    <x v="0"/>
    <x v="4"/>
    <x v="4"/>
    <x v="2"/>
    <n v="1"/>
    <n v="968"/>
    <n v="3818"/>
    <n v="214.2"/>
    <s v="709 N"/>
  </r>
  <r>
    <x v="0"/>
    <x v="5"/>
    <x v="4"/>
    <x v="2"/>
    <n v="1"/>
    <n v="1191"/>
    <n v="3830"/>
    <n v="214.2"/>
    <s v="709 N"/>
  </r>
  <r>
    <x v="1"/>
    <x v="6"/>
    <x v="4"/>
    <x v="2"/>
    <n v="1"/>
    <n v="2297"/>
    <n v="3830"/>
    <n v="214.2"/>
    <s v="709 N"/>
  </r>
  <r>
    <x v="1"/>
    <x v="7"/>
    <x v="4"/>
    <x v="2"/>
    <n v="2"/>
    <n v="3910"/>
    <n v="7060"/>
    <n v="428"/>
    <s v="709 N"/>
  </r>
  <r>
    <x v="0"/>
    <x v="0"/>
    <x v="5"/>
    <x v="1"/>
    <n v="1"/>
    <n v="2835"/>
    <n v="3818"/>
    <n v="927.22"/>
    <s v="2750 T"/>
  </r>
  <r>
    <x v="0"/>
    <x v="0"/>
    <x v="5"/>
    <x v="1"/>
    <n v="1"/>
    <n v="2835"/>
    <n v="3818"/>
    <n v="927.22"/>
    <s v="2750 T"/>
  </r>
  <r>
    <x v="0"/>
    <x v="1"/>
    <x v="5"/>
    <x v="1"/>
    <n v="1"/>
    <n v="3001"/>
    <n v="3830"/>
    <n v="927.22"/>
    <s v="2750 T"/>
  </r>
  <r>
    <x v="0"/>
    <x v="1"/>
    <x v="5"/>
    <x v="1"/>
    <n v="1"/>
    <n v="3001"/>
    <n v="3830"/>
    <n v="927.22"/>
    <s v="2750 T"/>
  </r>
  <r>
    <x v="0"/>
    <x v="4"/>
    <x v="5"/>
    <x v="1"/>
    <n v="1"/>
    <n v="2804"/>
    <n v="3818"/>
    <n v="927.22"/>
    <s v="2750 T"/>
  </r>
  <r>
    <x v="0"/>
    <x v="4"/>
    <x v="5"/>
    <x v="1"/>
    <n v="1"/>
    <n v="2804"/>
    <n v="3818"/>
    <n v="927.22"/>
    <s v="2750 T"/>
  </r>
  <r>
    <x v="1"/>
    <x v="6"/>
    <x v="5"/>
    <x v="1"/>
    <n v="1"/>
    <n v="3025"/>
    <n v="3830"/>
    <n v="927"/>
    <s v="2750 T"/>
  </r>
  <r>
    <x v="1"/>
    <x v="6"/>
    <x v="5"/>
    <x v="1"/>
    <n v="1"/>
    <n v="3025"/>
    <n v="3830"/>
    <n v="927"/>
    <s v="2750 T"/>
  </r>
  <r>
    <x v="1"/>
    <x v="7"/>
    <x v="5"/>
    <x v="1"/>
    <n v="1"/>
    <n v="2727"/>
    <n v="3818"/>
    <n v="927"/>
    <s v="2750 T"/>
  </r>
  <r>
    <x v="1"/>
    <x v="7"/>
    <x v="5"/>
    <x v="1"/>
    <n v="1"/>
    <n v="2727"/>
    <n v="3818"/>
    <n v="927"/>
    <s v="2750 T"/>
  </r>
  <r>
    <x v="0"/>
    <x v="0"/>
    <x v="6"/>
    <x v="3"/>
    <n v="1"/>
    <n v="1589"/>
    <n v="3830"/>
    <n v="374"/>
    <s v="2049 N"/>
  </r>
  <r>
    <x v="0"/>
    <x v="0"/>
    <x v="6"/>
    <x v="3"/>
    <n v="1"/>
    <n v="1589"/>
    <n v="3830"/>
    <n v="374"/>
    <s v="2049 N"/>
  </r>
  <r>
    <x v="0"/>
    <x v="3"/>
    <x v="6"/>
    <x v="3"/>
    <n v="1"/>
    <n v="2111"/>
    <n v="3830"/>
    <n v="374.11"/>
    <s v="2049 N"/>
  </r>
  <r>
    <x v="0"/>
    <x v="3"/>
    <x v="6"/>
    <x v="3"/>
    <n v="1"/>
    <n v="2111"/>
    <n v="3830"/>
    <n v="374.11"/>
    <s v="2049 N"/>
  </r>
  <r>
    <x v="1"/>
    <x v="6"/>
    <x v="6"/>
    <x v="3"/>
    <n v="1"/>
    <n v="3210"/>
    <n v="3818"/>
    <n v="374.11"/>
    <s v="2049 N"/>
  </r>
  <r>
    <x v="1"/>
    <x v="6"/>
    <x v="6"/>
    <x v="3"/>
    <n v="1"/>
    <n v="3210"/>
    <n v="3818"/>
    <n v="374.11"/>
    <s v="2049 N"/>
  </r>
  <r>
    <x v="1"/>
    <x v="7"/>
    <x v="6"/>
    <x v="3"/>
    <n v="1"/>
    <n v="2265"/>
    <n v="3818"/>
    <n v="374.11"/>
    <s v="2049 N"/>
  </r>
  <r>
    <x v="1"/>
    <x v="7"/>
    <x v="6"/>
    <x v="3"/>
    <n v="1"/>
    <n v="2265"/>
    <n v="3818"/>
    <n v="374.11"/>
    <s v="2049 N"/>
  </r>
  <r>
    <x v="0"/>
    <x v="0"/>
    <x v="7"/>
    <x v="1"/>
    <n v="1"/>
    <n v="3140"/>
    <n v="3830"/>
    <n v="2711.85"/>
    <s v="7687 D"/>
  </r>
  <r>
    <x v="0"/>
    <x v="3"/>
    <x v="7"/>
    <x v="1"/>
    <n v="1"/>
    <n v="2509"/>
    <n v="3818"/>
    <n v="2711.85"/>
    <s v="7687 D"/>
  </r>
  <r>
    <x v="1"/>
    <x v="6"/>
    <x v="7"/>
    <x v="1"/>
    <n v="1"/>
    <n v="3507"/>
    <n v="3830"/>
    <n v="2711.85"/>
    <s v="7687 D"/>
  </r>
  <r>
    <x v="1"/>
    <x v="7"/>
    <x v="7"/>
    <x v="1"/>
    <n v="1"/>
    <n v="2543"/>
    <n v="3818"/>
    <n v="2711.85"/>
    <s v="7687 D"/>
  </r>
  <r>
    <x v="0"/>
    <x v="0"/>
    <x v="8"/>
    <x v="3"/>
    <n v="1"/>
    <n v="1314"/>
    <n v="2863"/>
    <n v="184.37"/>
    <s v="1009 N"/>
  </r>
  <r>
    <x v="0"/>
    <x v="4"/>
    <x v="8"/>
    <x v="3"/>
    <n v="1"/>
    <n v="2079"/>
    <n v="3450"/>
    <n v="184.37"/>
    <s v="1009 N"/>
  </r>
  <r>
    <x v="0"/>
    <x v="5"/>
    <x v="8"/>
    <x v="3"/>
    <n v="1"/>
    <n v="2627"/>
    <n v="3450"/>
    <n v="184.37"/>
    <s v="1009 N"/>
  </r>
  <r>
    <x v="1"/>
    <x v="6"/>
    <x v="8"/>
    <x v="3"/>
    <n v="1"/>
    <n v="1170"/>
    <n v="3230"/>
    <n v="184.37"/>
    <s v="1009 N"/>
  </r>
  <r>
    <x v="1"/>
    <x v="7"/>
    <x v="8"/>
    <x v="3"/>
    <n v="1"/>
    <n v="1888"/>
    <n v="2863"/>
    <n v="184.37"/>
    <s v="1009 N"/>
  </r>
  <r>
    <x v="1"/>
    <x v="2"/>
    <x v="8"/>
    <x v="3"/>
    <n v="1"/>
    <n v="1118"/>
    <n v="3230"/>
    <n v="184.37"/>
    <s v="1009 N"/>
  </r>
  <r>
    <x v="0"/>
    <x v="0"/>
    <x v="9"/>
    <x v="1"/>
    <n v="1"/>
    <n v="2043"/>
    <n v="3830"/>
    <n v="204"/>
    <s v="769 N"/>
  </r>
  <r>
    <x v="0"/>
    <x v="3"/>
    <x v="9"/>
    <x v="1"/>
    <n v="1"/>
    <n v="3177"/>
    <n v="3818"/>
    <n v="204"/>
    <s v="769 N"/>
  </r>
  <r>
    <x v="0"/>
    <x v="1"/>
    <x v="9"/>
    <x v="1"/>
    <n v="2"/>
    <n v="4496"/>
    <n v="7636"/>
    <n v="408"/>
    <s v="769 N"/>
  </r>
  <r>
    <x v="0"/>
    <x v="4"/>
    <x v="9"/>
    <x v="1"/>
    <n v="2"/>
    <n v="5128"/>
    <n v="7660"/>
    <n v="408"/>
    <s v="769 N"/>
  </r>
  <r>
    <x v="0"/>
    <x v="5"/>
    <x v="9"/>
    <x v="1"/>
    <n v="1"/>
    <n v="1774"/>
    <n v="3830"/>
    <n v="204"/>
    <s v="769 N"/>
  </r>
  <r>
    <x v="1"/>
    <x v="6"/>
    <x v="9"/>
    <x v="1"/>
    <n v="1"/>
    <n v="2086"/>
    <n v="3830"/>
    <n v="204"/>
    <s v="769 N"/>
  </r>
  <r>
    <x v="1"/>
    <x v="7"/>
    <x v="9"/>
    <x v="1"/>
    <n v="2"/>
    <n v="4922"/>
    <n v="7636"/>
    <n v="408"/>
    <s v="769 N"/>
  </r>
  <r>
    <x v="1"/>
    <x v="2"/>
    <x v="9"/>
    <x v="1"/>
    <n v="1"/>
    <n v="1638"/>
    <n v="3830"/>
    <n v="204"/>
    <s v="769 N"/>
  </r>
  <r>
    <x v="0"/>
    <x v="0"/>
    <x v="10"/>
    <x v="3"/>
    <n v="1"/>
    <n v="1584"/>
    <n v="3230"/>
    <n v="180.79"/>
    <s v="1049 P"/>
  </r>
  <r>
    <x v="1"/>
    <x v="6"/>
    <x v="10"/>
    <x v="3"/>
    <n v="1"/>
    <n v="1301"/>
    <n v="3830"/>
    <n v="180.79"/>
    <s v="1049 P"/>
  </r>
  <r>
    <x v="0"/>
    <x v="0"/>
    <x v="11"/>
    <x v="1"/>
    <n v="2"/>
    <n v="4626"/>
    <n v="7660"/>
    <n v="365"/>
    <s v="1729 N"/>
  </r>
  <r>
    <x v="0"/>
    <x v="3"/>
    <x v="11"/>
    <x v="1"/>
    <n v="1"/>
    <n v="2483"/>
    <n v="3818"/>
    <n v="183"/>
    <s v="1729 N"/>
  </r>
  <r>
    <x v="0"/>
    <x v="1"/>
    <x v="11"/>
    <x v="1"/>
    <n v="1"/>
    <n v="729"/>
    <n v="3830"/>
    <n v="182.58"/>
    <s v="1729 N"/>
  </r>
  <r>
    <x v="0"/>
    <x v="4"/>
    <x v="11"/>
    <x v="1"/>
    <n v="1"/>
    <n v="790"/>
    <n v="3830"/>
    <n v="182.58"/>
    <s v="1729 N"/>
  </r>
  <r>
    <x v="0"/>
    <x v="5"/>
    <x v="11"/>
    <x v="1"/>
    <n v="1"/>
    <n v="2605"/>
    <n v="3830"/>
    <n v="182.58"/>
    <s v="1729 N"/>
  </r>
  <r>
    <x v="1"/>
    <x v="6"/>
    <x v="11"/>
    <x v="1"/>
    <n v="2"/>
    <n v="5916"/>
    <n v="7660"/>
    <n v="365.16"/>
    <s v="1729 N"/>
  </r>
  <r>
    <x v="1"/>
    <x v="7"/>
    <x v="11"/>
    <x v="1"/>
    <n v="2"/>
    <n v="2941"/>
    <n v="7648"/>
    <n v="365"/>
    <s v="1729 N"/>
  </r>
  <r>
    <x v="0"/>
    <x v="0"/>
    <x v="12"/>
    <x v="3"/>
    <n v="1"/>
    <n v="1914"/>
    <n v="3818"/>
    <n v="332.94"/>
    <s v="2079 N"/>
  </r>
  <r>
    <x v="0"/>
    <x v="3"/>
    <x v="12"/>
    <x v="3"/>
    <n v="1"/>
    <n v="2354"/>
    <n v="3813"/>
    <n v="332.94"/>
    <s v="2079 N"/>
  </r>
  <r>
    <x v="0"/>
    <x v="1"/>
    <x v="12"/>
    <x v="3"/>
    <n v="2"/>
    <n v="5719"/>
    <n v="7648"/>
    <n v="666"/>
    <s v="2079 N"/>
  </r>
  <r>
    <x v="0"/>
    <x v="4"/>
    <x v="12"/>
    <x v="3"/>
    <n v="1"/>
    <n v="3129"/>
    <n v="3818"/>
    <n v="332.94"/>
    <s v="2079 N"/>
  </r>
  <r>
    <x v="0"/>
    <x v="5"/>
    <x v="12"/>
    <x v="3"/>
    <n v="3"/>
    <n v="4994"/>
    <n v="7782"/>
    <n v="665.88"/>
    <s v="2079 N"/>
  </r>
  <r>
    <x v="1"/>
    <x v="6"/>
    <x v="12"/>
    <x v="3"/>
    <n v="2"/>
    <n v="3838"/>
    <n v="7648"/>
    <n v="665.88"/>
    <s v="2079 N"/>
  </r>
  <r>
    <x v="1"/>
    <x v="7"/>
    <x v="12"/>
    <x v="3"/>
    <n v="1"/>
    <n v="3004"/>
    <n v="3830"/>
    <n v="332.94"/>
    <s v="2079 N"/>
  </r>
  <r>
    <x v="1"/>
    <x v="2"/>
    <x v="12"/>
    <x v="3"/>
    <n v="2"/>
    <n v="3072"/>
    <n v="5800"/>
    <n v="499.41"/>
    <s v="2079 N"/>
  </r>
  <r>
    <x v="0"/>
    <x v="0"/>
    <x v="13"/>
    <x v="0"/>
    <n v="2"/>
    <n v="6060"/>
    <n v="7648"/>
    <n v="365.16"/>
    <s v="1729 S"/>
  </r>
  <r>
    <x v="0"/>
    <x v="0"/>
    <x v="13"/>
    <x v="0"/>
    <n v="2"/>
    <n v="6060"/>
    <n v="7648"/>
    <n v="365.16"/>
    <s v="1729 S"/>
  </r>
  <r>
    <x v="0"/>
    <x v="3"/>
    <x v="13"/>
    <x v="0"/>
    <n v="1"/>
    <n v="2941"/>
    <n v="3830"/>
    <n v="182.58"/>
    <s v="1729 S"/>
  </r>
  <r>
    <x v="0"/>
    <x v="3"/>
    <x v="13"/>
    <x v="0"/>
    <n v="1"/>
    <n v="2941"/>
    <n v="3830"/>
    <n v="182.58"/>
    <s v="1729 S"/>
  </r>
  <r>
    <x v="0"/>
    <x v="1"/>
    <x v="13"/>
    <x v="0"/>
    <n v="2"/>
    <n v="5540"/>
    <n v="7048"/>
    <n v="365.16"/>
    <s v="1729 S"/>
  </r>
  <r>
    <x v="0"/>
    <x v="1"/>
    <x v="13"/>
    <x v="0"/>
    <n v="2"/>
    <n v="5540"/>
    <n v="7048"/>
    <n v="365.16"/>
    <s v="1729 S"/>
  </r>
  <r>
    <x v="0"/>
    <x v="4"/>
    <x v="13"/>
    <x v="0"/>
    <n v="1"/>
    <n v="2896"/>
    <n v="3830"/>
    <n v="183"/>
    <s v="1729 S"/>
  </r>
  <r>
    <x v="0"/>
    <x v="4"/>
    <x v="13"/>
    <x v="0"/>
    <n v="1"/>
    <n v="2896"/>
    <n v="3830"/>
    <n v="183"/>
    <s v="1729 S"/>
  </r>
  <r>
    <x v="0"/>
    <x v="5"/>
    <x v="13"/>
    <x v="0"/>
    <n v="2"/>
    <n v="5581"/>
    <n v="7660"/>
    <n v="365.16"/>
    <s v="1729 S"/>
  </r>
  <r>
    <x v="0"/>
    <x v="5"/>
    <x v="13"/>
    <x v="0"/>
    <n v="2"/>
    <n v="5581"/>
    <n v="7660"/>
    <n v="365.16"/>
    <s v="1729 S"/>
  </r>
  <r>
    <x v="1"/>
    <x v="6"/>
    <x v="13"/>
    <x v="0"/>
    <n v="2"/>
    <n v="5940"/>
    <n v="7648"/>
    <n v="365.16"/>
    <s v="1729 S"/>
  </r>
  <r>
    <x v="1"/>
    <x v="6"/>
    <x v="13"/>
    <x v="0"/>
    <n v="2"/>
    <n v="5940"/>
    <n v="7648"/>
    <n v="365.16"/>
    <s v="1729 S"/>
  </r>
  <r>
    <x v="1"/>
    <x v="7"/>
    <x v="13"/>
    <x v="0"/>
    <n v="2"/>
    <n v="5771"/>
    <n v="7648"/>
    <n v="365"/>
    <s v="1729 S"/>
  </r>
  <r>
    <x v="1"/>
    <x v="7"/>
    <x v="13"/>
    <x v="0"/>
    <n v="2"/>
    <n v="5771"/>
    <n v="7648"/>
    <n v="365"/>
    <s v="1729 S"/>
  </r>
  <r>
    <x v="0"/>
    <x v="0"/>
    <x v="14"/>
    <x v="0"/>
    <n v="1"/>
    <n v="2401"/>
    <n v="3830"/>
    <n v="1264"/>
    <s v="2919 T"/>
  </r>
  <r>
    <x v="1"/>
    <x v="6"/>
    <x v="14"/>
    <x v="0"/>
    <n v="1"/>
    <n v="2645"/>
    <n v="3818"/>
    <n v="1263.74"/>
    <s v="2919 T"/>
  </r>
  <r>
    <x v="0"/>
    <x v="0"/>
    <x v="15"/>
    <x v="0"/>
    <n v="1"/>
    <n v="2663"/>
    <n v="3830"/>
    <n v="209.1"/>
    <s v="1919 P"/>
  </r>
  <r>
    <x v="1"/>
    <x v="6"/>
    <x v="15"/>
    <x v="0"/>
    <n v="1"/>
    <n v="2644"/>
    <n v="3830"/>
    <n v="209.1"/>
    <s v="1919 P"/>
  </r>
  <r>
    <x v="0"/>
    <x v="0"/>
    <x v="16"/>
    <x v="0"/>
    <n v="1"/>
    <n v="1146"/>
    <n v="1982"/>
    <n v="91.29"/>
    <s v="1129 P"/>
  </r>
  <r>
    <x v="1"/>
    <x v="2"/>
    <x v="16"/>
    <x v="0"/>
    <n v="1"/>
    <n v="746"/>
    <n v="1982"/>
    <n v="91.29"/>
    <s v="1129 P"/>
  </r>
  <r>
    <x v="0"/>
    <x v="0"/>
    <x v="17"/>
    <x v="3"/>
    <n v="1"/>
    <n v="1140"/>
    <n v="1982"/>
    <n v="109.65"/>
    <s v="1759 P"/>
  </r>
  <r>
    <x v="0"/>
    <x v="5"/>
    <x v="17"/>
    <x v="3"/>
    <n v="1"/>
    <n v="555"/>
    <n v="1982"/>
    <n v="109.65"/>
    <s v="1759 P"/>
  </r>
  <r>
    <x v="1"/>
    <x v="6"/>
    <x v="17"/>
    <x v="3"/>
    <n v="1"/>
    <n v="1225"/>
    <n v="2863"/>
    <n v="219.3"/>
    <s v="1759 P"/>
  </r>
  <r>
    <x v="0"/>
    <x v="0"/>
    <x v="18"/>
    <x v="0"/>
    <n v="1"/>
    <n v="1150"/>
    <n v="1982"/>
    <n v="109.19"/>
    <s v="1159 P"/>
  </r>
  <r>
    <x v="0"/>
    <x v="3"/>
    <x v="18"/>
    <x v="0"/>
    <n v="1"/>
    <n v="1253"/>
    <n v="1982"/>
    <n v="109"/>
    <s v="1159 P"/>
  </r>
  <r>
    <x v="0"/>
    <x v="4"/>
    <x v="18"/>
    <x v="0"/>
    <n v="1"/>
    <n v="1506"/>
    <n v="1982"/>
    <n v="109.19"/>
    <s v="1159 P"/>
  </r>
  <r>
    <x v="1"/>
    <x v="6"/>
    <x v="18"/>
    <x v="0"/>
    <n v="1"/>
    <n v="1325"/>
    <n v="3230"/>
    <n v="218.38"/>
    <s v="1159 P"/>
  </r>
  <r>
    <x v="1"/>
    <x v="7"/>
    <x v="18"/>
    <x v="0"/>
    <n v="1"/>
    <n v="1548"/>
    <n v="1982"/>
    <n v="109.19"/>
    <s v="1159 P"/>
  </r>
  <r>
    <x v="0"/>
    <x v="0"/>
    <x v="19"/>
    <x v="4"/>
    <n v="1"/>
    <n v="3288"/>
    <n v="3830"/>
    <n v="26"/>
    <s v="1819 P"/>
  </r>
  <r>
    <x v="1"/>
    <x v="6"/>
    <x v="19"/>
    <x v="4"/>
    <n v="1"/>
    <n v="3568"/>
    <n v="3830"/>
    <n v="25.5"/>
    <s v="1819 P"/>
  </r>
  <r>
    <x v="0"/>
    <x v="0"/>
    <x v="20"/>
    <x v="3"/>
    <n v="2"/>
    <n v="6034"/>
    <n v="7648"/>
    <n v="3838.53"/>
    <s v="3229 D"/>
  </r>
  <r>
    <x v="0"/>
    <x v="3"/>
    <x v="20"/>
    <x v="3"/>
    <n v="2"/>
    <n v="5960"/>
    <n v="7660"/>
    <n v="3839"/>
    <s v="3229 D"/>
  </r>
  <r>
    <x v="0"/>
    <x v="1"/>
    <x v="20"/>
    <x v="3"/>
    <n v="1"/>
    <n v="2928"/>
    <n v="3818"/>
    <n v="1800.93"/>
    <s v="3229 D"/>
  </r>
  <r>
    <x v="0"/>
    <x v="4"/>
    <x v="20"/>
    <x v="3"/>
    <n v="1"/>
    <n v="2732"/>
    <n v="3818"/>
    <n v="1726.81"/>
    <s v="3229 D"/>
  </r>
  <r>
    <x v="0"/>
    <x v="5"/>
    <x v="20"/>
    <x v="3"/>
    <n v="1"/>
    <n v="3075"/>
    <n v="3818"/>
    <n v="1726.81"/>
    <s v="3229 D"/>
  </r>
  <r>
    <x v="1"/>
    <x v="6"/>
    <x v="20"/>
    <x v="3"/>
    <n v="2"/>
    <n v="6106"/>
    <n v="7648"/>
    <n v="3838.53"/>
    <s v="3229 D"/>
  </r>
  <r>
    <x v="1"/>
    <x v="7"/>
    <x v="20"/>
    <x v="3"/>
    <n v="1"/>
    <n v="2599"/>
    <n v="3818"/>
    <n v="1800.93"/>
    <s v="3229 D"/>
  </r>
  <r>
    <x v="0"/>
    <x v="0"/>
    <x v="21"/>
    <x v="3"/>
    <n v="1"/>
    <n v="2703"/>
    <n v="3830"/>
    <n v="173.4"/>
    <s v="1909 P"/>
  </r>
  <r>
    <x v="0"/>
    <x v="0"/>
    <x v="22"/>
    <x v="2"/>
    <n v="1"/>
    <n v="2707"/>
    <n v="3830"/>
    <n v="477.93"/>
    <s v="299 T"/>
  </r>
  <r>
    <x v="0"/>
    <x v="3"/>
    <x v="22"/>
    <x v="2"/>
    <n v="1"/>
    <n v="2667"/>
    <n v="3830"/>
    <n v="477.93"/>
    <s v="299 T"/>
  </r>
  <r>
    <x v="0"/>
    <x v="1"/>
    <x v="22"/>
    <x v="2"/>
    <n v="1"/>
    <n v="1515"/>
    <n v="3830"/>
    <n v="477.93"/>
    <s v="299 T"/>
  </r>
  <r>
    <x v="1"/>
    <x v="7"/>
    <x v="22"/>
    <x v="2"/>
    <n v="1"/>
    <n v="1944"/>
    <n v="3830"/>
    <n v="477.93"/>
    <s v="299 T"/>
  </r>
  <r>
    <x v="0"/>
    <x v="0"/>
    <x v="23"/>
    <x v="4"/>
    <n v="2"/>
    <n v="2831"/>
    <n v="3964"/>
    <n v="921.86"/>
    <s v="4359 T"/>
  </r>
  <r>
    <x v="0"/>
    <x v="3"/>
    <x v="23"/>
    <x v="4"/>
    <n v="1"/>
    <n v="1089"/>
    <n v="1926"/>
    <n v="460.93"/>
    <s v="4359 T"/>
  </r>
  <r>
    <x v="0"/>
    <x v="1"/>
    <x v="23"/>
    <x v="4"/>
    <n v="1"/>
    <n v="1022"/>
    <n v="1982"/>
    <n v="460.93"/>
    <s v="4359 T"/>
  </r>
  <r>
    <x v="0"/>
    <x v="5"/>
    <x v="23"/>
    <x v="4"/>
    <n v="1"/>
    <n v="1349"/>
    <n v="1982"/>
    <n v="460.93"/>
    <s v="4359 T"/>
  </r>
  <r>
    <x v="1"/>
    <x v="6"/>
    <x v="23"/>
    <x v="4"/>
    <n v="2"/>
    <n v="2908"/>
    <n v="3964"/>
    <n v="921.86"/>
    <s v="4359 T"/>
  </r>
  <r>
    <x v="1"/>
    <x v="7"/>
    <x v="23"/>
    <x v="4"/>
    <n v="1"/>
    <n v="2118"/>
    <n v="3830"/>
    <n v="922"/>
    <s v="4359 T"/>
  </r>
  <r>
    <x v="1"/>
    <x v="2"/>
    <x v="23"/>
    <x v="4"/>
    <n v="1"/>
    <n v="1666"/>
    <n v="3230"/>
    <n v="1102.6400000000001"/>
    <s v="4359 T"/>
  </r>
  <r>
    <x v="0"/>
    <x v="0"/>
    <x v="24"/>
    <x v="4"/>
    <n v="4"/>
    <n v="9639"/>
    <n v="13460"/>
    <n v="4617.3100000000004"/>
    <s v="6059 D"/>
  </r>
  <r>
    <x v="0"/>
    <x v="0"/>
    <x v="24"/>
    <x v="4"/>
    <n v="4"/>
    <n v="9639"/>
    <n v="13460"/>
    <n v="4617.3100000000004"/>
    <s v="6059 D"/>
  </r>
  <r>
    <x v="0"/>
    <x v="0"/>
    <x v="24"/>
    <x v="4"/>
    <n v="4"/>
    <n v="9639"/>
    <n v="13460"/>
    <n v="4617.3100000000004"/>
    <s v="6059 D"/>
  </r>
  <r>
    <x v="0"/>
    <x v="3"/>
    <x v="24"/>
    <x v="4"/>
    <n v="2"/>
    <n v="6376"/>
    <n v="7660"/>
    <n v="2638.46"/>
    <s v="6059 D"/>
  </r>
  <r>
    <x v="0"/>
    <x v="3"/>
    <x v="24"/>
    <x v="4"/>
    <n v="2"/>
    <n v="6376"/>
    <n v="7660"/>
    <n v="2638.46"/>
    <s v="6059 D"/>
  </r>
  <r>
    <x v="0"/>
    <x v="3"/>
    <x v="24"/>
    <x v="4"/>
    <n v="2"/>
    <n v="6376"/>
    <n v="7660"/>
    <n v="2638.46"/>
    <s v="6059 D"/>
  </r>
  <r>
    <x v="0"/>
    <x v="1"/>
    <x v="24"/>
    <x v="4"/>
    <n v="3"/>
    <n v="5477"/>
    <n v="7782"/>
    <n v="2649.21"/>
    <s v="6059 D"/>
  </r>
  <r>
    <x v="0"/>
    <x v="1"/>
    <x v="24"/>
    <x v="4"/>
    <n v="3"/>
    <n v="5477"/>
    <n v="7782"/>
    <n v="2649.21"/>
    <s v="6059 D"/>
  </r>
  <r>
    <x v="0"/>
    <x v="1"/>
    <x v="24"/>
    <x v="4"/>
    <n v="3"/>
    <n v="5477"/>
    <n v="7782"/>
    <n v="2649.21"/>
    <s v="6059 D"/>
  </r>
  <r>
    <x v="0"/>
    <x v="4"/>
    <x v="24"/>
    <x v="4"/>
    <n v="2"/>
    <n v="4279"/>
    <n v="5812"/>
    <n v="1979"/>
    <s v="6059 D"/>
  </r>
  <r>
    <x v="0"/>
    <x v="4"/>
    <x v="24"/>
    <x v="4"/>
    <n v="2"/>
    <n v="4279"/>
    <n v="5812"/>
    <n v="1979"/>
    <s v="6059 D"/>
  </r>
  <r>
    <x v="0"/>
    <x v="4"/>
    <x v="24"/>
    <x v="4"/>
    <n v="2"/>
    <n v="4279"/>
    <n v="5812"/>
    <n v="1979"/>
    <s v="6059 D"/>
  </r>
  <r>
    <x v="0"/>
    <x v="5"/>
    <x v="24"/>
    <x v="4"/>
    <n v="2"/>
    <n v="4202"/>
    <n v="7648"/>
    <n v="4018.74"/>
    <s v="6059 D"/>
  </r>
  <r>
    <x v="0"/>
    <x v="5"/>
    <x v="24"/>
    <x v="4"/>
    <n v="2"/>
    <n v="4202"/>
    <n v="7648"/>
    <n v="4018.74"/>
    <s v="6059 D"/>
  </r>
  <r>
    <x v="0"/>
    <x v="5"/>
    <x v="24"/>
    <x v="4"/>
    <n v="2"/>
    <n v="4202"/>
    <n v="7648"/>
    <n v="4018.74"/>
    <s v="6059 D"/>
  </r>
  <r>
    <x v="1"/>
    <x v="6"/>
    <x v="24"/>
    <x v="4"/>
    <n v="4"/>
    <n v="10105"/>
    <n v="15320"/>
    <n v="5276.92"/>
    <s v="6059 D"/>
  </r>
  <r>
    <x v="1"/>
    <x v="6"/>
    <x v="24"/>
    <x v="4"/>
    <n v="4"/>
    <n v="10105"/>
    <n v="15320"/>
    <n v="5276.92"/>
    <s v="6059 D"/>
  </r>
  <r>
    <x v="1"/>
    <x v="6"/>
    <x v="24"/>
    <x v="4"/>
    <n v="4"/>
    <n v="10105"/>
    <n v="15320"/>
    <n v="5276.92"/>
    <s v="6059 D"/>
  </r>
  <r>
    <x v="1"/>
    <x v="7"/>
    <x v="24"/>
    <x v="4"/>
    <n v="3"/>
    <n v="8114"/>
    <n v="11466"/>
    <n v="3968.43"/>
    <s v="6059 D"/>
  </r>
  <r>
    <x v="1"/>
    <x v="7"/>
    <x v="24"/>
    <x v="4"/>
    <n v="3"/>
    <n v="8114"/>
    <n v="11466"/>
    <n v="3968.43"/>
    <s v="6059 D"/>
  </r>
  <r>
    <x v="1"/>
    <x v="7"/>
    <x v="24"/>
    <x v="4"/>
    <n v="3"/>
    <n v="8114"/>
    <n v="11466"/>
    <n v="3968.43"/>
    <s v="6059 D"/>
  </r>
  <r>
    <x v="0"/>
    <x v="0"/>
    <x v="25"/>
    <x v="2"/>
    <n v="1"/>
    <n v="2940"/>
    <n v="3830"/>
    <n v="853.83"/>
    <s v="4329 T"/>
  </r>
  <r>
    <x v="1"/>
    <x v="6"/>
    <x v="25"/>
    <x v="2"/>
    <n v="1"/>
    <n v="3054"/>
    <n v="3830"/>
    <n v="853.83"/>
    <s v="4329 T"/>
  </r>
  <r>
    <x v="0"/>
    <x v="0"/>
    <x v="26"/>
    <x v="2"/>
    <n v="1"/>
    <n v="2785"/>
    <n v="3818"/>
    <n v="216.75"/>
    <s v="1939 P"/>
  </r>
  <r>
    <x v="0"/>
    <x v="5"/>
    <x v="26"/>
    <x v="2"/>
    <n v="1"/>
    <n v="2827"/>
    <n v="3818"/>
    <n v="216.75"/>
    <s v="1939 P"/>
  </r>
  <r>
    <x v="1"/>
    <x v="6"/>
    <x v="26"/>
    <x v="2"/>
    <n v="1"/>
    <n v="2805"/>
    <n v="3818"/>
    <n v="216.75"/>
    <s v="1939 P"/>
  </r>
  <r>
    <x v="0"/>
    <x v="0"/>
    <x v="27"/>
    <x v="2"/>
    <n v="1"/>
    <n v="3205"/>
    <n v="3830"/>
    <n v="4118.8999999999996"/>
    <s v="9489 D"/>
  </r>
  <r>
    <x v="0"/>
    <x v="3"/>
    <x v="27"/>
    <x v="2"/>
    <n v="1"/>
    <n v="3190"/>
    <n v="3830"/>
    <n v="4118.8999999999996"/>
    <s v="9489 D"/>
  </r>
  <r>
    <x v="0"/>
    <x v="1"/>
    <x v="27"/>
    <x v="2"/>
    <n v="1"/>
    <n v="3314"/>
    <n v="3830"/>
    <n v="4118.8999999999996"/>
    <s v="9489 D"/>
  </r>
  <r>
    <x v="0"/>
    <x v="4"/>
    <x v="27"/>
    <x v="2"/>
    <n v="1"/>
    <n v="3264"/>
    <n v="3818"/>
    <n v="4645.13"/>
    <s v="9489 D"/>
  </r>
  <r>
    <x v="0"/>
    <x v="5"/>
    <x v="27"/>
    <x v="2"/>
    <n v="1"/>
    <n v="3033"/>
    <n v="3830"/>
    <n v="4118.8999999999996"/>
    <s v="9489 D"/>
  </r>
  <r>
    <x v="1"/>
    <x v="6"/>
    <x v="27"/>
    <x v="2"/>
    <n v="1"/>
    <n v="2892"/>
    <n v="3830"/>
    <n v="4217.01"/>
    <s v="9489 D"/>
  </r>
  <r>
    <x v="0"/>
    <x v="0"/>
    <x v="28"/>
    <x v="4"/>
    <n v="2"/>
    <n v="4390"/>
    <n v="5800"/>
    <n v="2370.86"/>
    <s v="3719 N"/>
  </r>
  <r>
    <x v="1"/>
    <x v="6"/>
    <x v="28"/>
    <x v="4"/>
    <n v="1"/>
    <n v="1512"/>
    <n v="1982"/>
    <n v="783.13"/>
    <s v="3719 N"/>
  </r>
  <r>
    <x v="0"/>
    <x v="0"/>
    <x v="29"/>
    <x v="1"/>
    <n v="1"/>
    <n v="3216"/>
    <n v="3830"/>
    <n v="1172.45"/>
    <s v="4628 T"/>
  </r>
  <r>
    <x v="1"/>
    <x v="6"/>
    <x v="29"/>
    <x v="1"/>
    <n v="1"/>
    <n v="3417"/>
    <n v="3830"/>
    <n v="1172.45"/>
    <s v="4628 T"/>
  </r>
  <r>
    <x v="0"/>
    <x v="0"/>
    <x v="30"/>
    <x v="3"/>
    <n v="2"/>
    <n v="4901"/>
    <n v="5812"/>
    <n v="2284.94"/>
    <s v="3033 T"/>
  </r>
  <r>
    <x v="0"/>
    <x v="3"/>
    <x v="30"/>
    <x v="3"/>
    <n v="1"/>
    <n v="3354"/>
    <n v="3830"/>
    <n v="1501.81"/>
    <s v="3033 T"/>
  </r>
  <r>
    <x v="0"/>
    <x v="1"/>
    <x v="30"/>
    <x v="3"/>
    <n v="1"/>
    <n v="2767"/>
    <n v="3830"/>
    <n v="1501.81"/>
    <s v="3033 T"/>
  </r>
  <r>
    <x v="0"/>
    <x v="4"/>
    <x v="30"/>
    <x v="3"/>
    <n v="1"/>
    <n v="3228"/>
    <n v="3830"/>
    <n v="1501.81"/>
    <s v="3033 T"/>
  </r>
  <r>
    <x v="0"/>
    <x v="5"/>
    <x v="30"/>
    <x v="3"/>
    <n v="1"/>
    <n v="3080"/>
    <n v="3830"/>
    <n v="1227.48"/>
    <s v="3033 T"/>
  </r>
  <r>
    <x v="1"/>
    <x v="6"/>
    <x v="30"/>
    <x v="3"/>
    <n v="2"/>
    <n v="5816"/>
    <n v="7648"/>
    <n v="3068"/>
    <s v="3033 T"/>
  </r>
  <r>
    <x v="1"/>
    <x v="7"/>
    <x v="30"/>
    <x v="3"/>
    <n v="1"/>
    <n v="2670"/>
    <n v="3830"/>
    <n v="1501.81"/>
    <s v="3033 T"/>
  </r>
  <r>
    <x v="0"/>
    <x v="0"/>
    <x v="31"/>
    <x v="4"/>
    <n v="1"/>
    <n v="3278"/>
    <n v="3830"/>
    <n v="4895.47"/>
    <s v="9119 T"/>
  </r>
  <r>
    <x v="0"/>
    <x v="1"/>
    <x v="31"/>
    <x v="4"/>
    <n v="1"/>
    <n v="2876"/>
    <n v="3818"/>
    <n v="4118.1400000000003"/>
    <s v="9119 T"/>
  </r>
  <r>
    <x v="0"/>
    <x v="4"/>
    <x v="31"/>
    <x v="4"/>
    <n v="1"/>
    <n v="2893"/>
    <n v="3818"/>
    <n v="4118.1400000000003"/>
    <s v="9119 T"/>
  </r>
  <r>
    <x v="0"/>
    <x v="5"/>
    <x v="31"/>
    <x v="4"/>
    <n v="1"/>
    <n v="2927"/>
    <n v="3818"/>
    <n v="4118.1400000000003"/>
    <s v="9119 T"/>
  </r>
  <r>
    <x v="1"/>
    <x v="6"/>
    <x v="31"/>
    <x v="4"/>
    <n v="1"/>
    <n v="3060"/>
    <n v="3830"/>
    <n v="4895"/>
    <s v="9119 T"/>
  </r>
  <r>
    <x v="0"/>
    <x v="3"/>
    <x v="32"/>
    <x v="0"/>
    <n v="1"/>
    <n v="1751"/>
    <n v="3818"/>
    <n v="211.65"/>
    <s v="759 N"/>
  </r>
  <r>
    <x v="0"/>
    <x v="1"/>
    <x v="32"/>
    <x v="0"/>
    <n v="1"/>
    <n v="131"/>
    <n v="1982"/>
    <n v="105.82"/>
    <s v="759 N"/>
  </r>
  <r>
    <x v="0"/>
    <x v="4"/>
    <x v="32"/>
    <x v="0"/>
    <n v="1"/>
    <n v="632"/>
    <n v="3830"/>
    <n v="212"/>
    <s v="759 N"/>
  </r>
  <r>
    <x v="1"/>
    <x v="6"/>
    <x v="32"/>
    <x v="0"/>
    <n v="1"/>
    <n v="148"/>
    <n v="3230"/>
    <n v="211.65"/>
    <s v="759 N"/>
  </r>
  <r>
    <x v="1"/>
    <x v="7"/>
    <x v="32"/>
    <x v="0"/>
    <n v="1"/>
    <n v="1298"/>
    <n v="3830"/>
    <n v="211.65"/>
    <s v="759 N"/>
  </r>
  <r>
    <x v="1"/>
    <x v="2"/>
    <x v="32"/>
    <x v="0"/>
    <n v="1"/>
    <n v="300"/>
    <n v="1982"/>
    <n v="105.82"/>
    <s v="759 N"/>
  </r>
  <r>
    <x v="0"/>
    <x v="3"/>
    <x v="33"/>
    <x v="4"/>
    <n v="1"/>
    <n v="1420"/>
    <n v="1982"/>
    <n v="212.12"/>
    <s v="679 P"/>
  </r>
  <r>
    <x v="0"/>
    <x v="4"/>
    <x v="33"/>
    <x v="4"/>
    <n v="1"/>
    <n v="1411"/>
    <n v="1982"/>
    <n v="212"/>
    <s v="679 P"/>
  </r>
  <r>
    <x v="0"/>
    <x v="5"/>
    <x v="33"/>
    <x v="4"/>
    <n v="1"/>
    <n v="1045"/>
    <n v="1982"/>
    <n v="212.12"/>
    <s v="679 P"/>
  </r>
  <r>
    <x v="1"/>
    <x v="7"/>
    <x v="33"/>
    <x v="4"/>
    <n v="1"/>
    <n v="1343"/>
    <n v="1982"/>
    <n v="212.12"/>
    <s v="679 P"/>
  </r>
  <r>
    <x v="0"/>
    <x v="3"/>
    <x v="34"/>
    <x v="3"/>
    <n v="1"/>
    <n v="2969"/>
    <n v="3830"/>
    <n v="4118.1400000000003"/>
    <s v="9119 A"/>
  </r>
  <r>
    <x v="1"/>
    <x v="7"/>
    <x v="34"/>
    <x v="3"/>
    <n v="1"/>
    <n v="2966"/>
    <n v="3830"/>
    <n v="4118.1400000000003"/>
    <s v="9119 A"/>
  </r>
  <r>
    <x v="0"/>
    <x v="5"/>
    <x v="35"/>
    <x v="4"/>
    <n v="1"/>
    <n v="1366"/>
    <n v="1982"/>
    <n v="194.22"/>
    <s v="619 N"/>
  </r>
  <r>
    <x v="0"/>
    <x v="1"/>
    <x v="36"/>
    <x v="3"/>
    <n v="1"/>
    <n v="2921"/>
    <n v="3818"/>
    <n v="2729.75"/>
    <s v="7687 T"/>
  </r>
  <r>
    <x v="1"/>
    <x v="6"/>
    <x v="37"/>
    <x v="0"/>
    <n v="1"/>
    <n v="1279"/>
    <n v="3830"/>
    <n v="184"/>
    <s v="1119 P"/>
  </r>
  <r>
    <x v="1"/>
    <x v="7"/>
    <x v="37"/>
    <x v="0"/>
    <n v="1"/>
    <n v="1623"/>
    <n v="1982"/>
    <n v="92"/>
    <s v="1119 P"/>
  </r>
  <r>
    <x v="1"/>
    <x v="6"/>
    <x v="38"/>
    <x v="2"/>
    <n v="1"/>
    <n v="1473"/>
    <n v="3230"/>
    <n v="1272.69"/>
    <s v="4059 T"/>
  </r>
  <r>
    <x v="0"/>
    <x v="5"/>
    <x v="39"/>
    <x v="2"/>
    <n v="1"/>
    <n v="112"/>
    <n v="3230"/>
    <n v="221.85"/>
    <s v="889 N"/>
  </r>
  <r>
    <x v="1"/>
    <x v="2"/>
    <x v="40"/>
    <x v="0"/>
    <n v="1"/>
    <n v="1241"/>
    <n v="3830"/>
    <n v="589"/>
    <s v="2329 P"/>
  </r>
  <r>
    <x v="1"/>
    <x v="6"/>
    <x v="41"/>
    <x v="0"/>
    <n v="1"/>
    <n v="1550"/>
    <n v="1982"/>
    <n v="100.72"/>
    <s v="1869 P"/>
  </r>
  <r>
    <x v="1"/>
    <x v="2"/>
    <x v="1"/>
    <x v="1"/>
    <n v="2"/>
    <n v="3642"/>
    <n v="5800"/>
    <n v="539.69000000000005"/>
    <s v="1329 N"/>
  </r>
  <r>
    <x v="1"/>
    <x v="2"/>
    <x v="1"/>
    <x v="1"/>
    <n v="2"/>
    <n v="3642"/>
    <n v="5800"/>
    <n v="539.69000000000005"/>
    <s v="1329 N"/>
  </r>
  <r>
    <x v="1"/>
    <x v="2"/>
    <x v="4"/>
    <x v="2"/>
    <n v="1"/>
    <n v="2479"/>
    <n v="3818"/>
    <n v="214.2"/>
    <s v="709 N"/>
  </r>
  <r>
    <x v="1"/>
    <x v="2"/>
    <x v="31"/>
    <x v="4"/>
    <n v="1"/>
    <n v="2834"/>
    <n v="3830"/>
    <n v="4118.1400000000003"/>
    <s v="9119 T"/>
  </r>
  <r>
    <x v="1"/>
    <x v="2"/>
    <x v="30"/>
    <x v="3"/>
    <n v="1"/>
    <n v="2848"/>
    <n v="3830"/>
    <n v="1501.81"/>
    <s v="3033 T"/>
  </r>
  <r>
    <x v="1"/>
    <x v="2"/>
    <x v="24"/>
    <x v="4"/>
    <n v="2"/>
    <n v="4370"/>
    <n v="5812"/>
    <n v="1978.85"/>
    <s v="6059 D"/>
  </r>
  <r>
    <x v="1"/>
    <x v="2"/>
    <x v="24"/>
    <x v="4"/>
    <n v="2"/>
    <n v="4370"/>
    <n v="5812"/>
    <n v="1978.85"/>
    <s v="6059 D"/>
  </r>
  <r>
    <x v="1"/>
    <x v="2"/>
    <x v="24"/>
    <x v="4"/>
    <n v="2"/>
    <n v="4370"/>
    <n v="5812"/>
    <n v="1978.85"/>
    <s v="6059 D"/>
  </r>
  <r>
    <x v="1"/>
    <x v="2"/>
    <x v="20"/>
    <x v="3"/>
    <n v="1"/>
    <n v="2923"/>
    <n v="3818"/>
    <n v="1800.93"/>
    <s v="3229 D"/>
  </r>
  <r>
    <x v="1"/>
    <x v="2"/>
    <x v="13"/>
    <x v="0"/>
    <n v="2"/>
    <n v="5965"/>
    <n v="7648"/>
    <n v="365.16"/>
    <s v="1729 S"/>
  </r>
  <r>
    <x v="1"/>
    <x v="2"/>
    <x v="13"/>
    <x v="0"/>
    <n v="2"/>
    <n v="5965"/>
    <n v="7648"/>
    <n v="365.16"/>
    <s v="1729 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F8693-B300-4754-94F0-A9CB01944FAA}"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51:L56"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h="1" x="0"/>
        <item x="3"/>
        <item h="1"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v="2"/>
    </i>
    <i r="1">
      <x v="35"/>
    </i>
    <i r="1">
      <x v="3"/>
    </i>
    <i r="1">
      <x v="20"/>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39">
      <pivotArea outline="0" collapsedLevelsAreSubtotals="1" fieldPosition="0">
        <references count="1">
          <reference field="4294967294" count="1" selected="0">
            <x v="2"/>
          </reference>
        </references>
      </pivotArea>
    </format>
    <format dxfId="138">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1" iMeasureFld="2">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CA1A19-758D-49EC-8CDC-96CF24658F7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1:L96"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h="1" x="0"/>
        <item x="3"/>
        <item h="1"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v="2"/>
    </i>
    <i r="1">
      <x v="23"/>
    </i>
    <i r="1">
      <x v="20"/>
    </i>
    <i r="1">
      <x v="3"/>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41">
      <pivotArea outline="0" collapsedLevelsAreSubtotals="1" fieldPosition="0">
        <references count="1">
          <reference field="4294967294" count="1" selected="0">
            <x v="2"/>
          </reference>
        </references>
      </pivotArea>
    </format>
    <format dxfId="14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2" iMeasureFld="2">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D5379-C07D-4E9A-B641-51565C658003}" name="Day B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L14"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2"/>
  </rowFields>
  <rowItems count="6">
    <i>
      <x v="27"/>
    </i>
    <i>
      <x v="35"/>
    </i>
    <i>
      <x v="3"/>
    </i>
    <i>
      <x v="26"/>
    </i>
    <i>
      <x v="10"/>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43">
      <pivotArea outline="0" collapsedLevelsAreSubtotals="1" fieldPosition="0">
        <references count="1">
          <reference field="4294967294" count="1" selected="0">
            <x v="2"/>
          </reference>
        </references>
      </pivotArea>
    </format>
    <format dxfId="14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7" iMeasureFld="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8EF9DA-C7F9-4013-8102-133EE0A0CA98}" name="Day Ran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6:K32" firstHeaderRow="0" firstDataRow="1" firstDataCol="1"/>
  <pivotFields count="12">
    <pivotField numFmtId="14" showAll="0"/>
    <pivotField numFmtId="14" showAll="0">
      <items count="9">
        <item h="1" x="0"/>
        <item h="1" x="3"/>
        <item h="1" x="1"/>
        <item x="4"/>
        <item h="1" x="5"/>
        <item h="1" x="6"/>
        <item h="1" x="7"/>
        <item h="1" x="2"/>
        <item t="default"/>
      </items>
    </pivotField>
    <pivotField showAll="0" measureFilter="1" sortType="ascending">
      <autoSortScope>
        <pivotArea dataOnly="0" outline="0" fieldPosition="0">
          <references count="1">
            <reference field="4294967294" count="1" selected="0">
              <x v="0"/>
            </reference>
          </references>
        </pivotArea>
      </autoSortScope>
    </pivotField>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3"/>
  </rowFields>
  <rowItems count="6">
    <i>
      <x v="2"/>
    </i>
    <i>
      <x/>
    </i>
    <i>
      <x v="4"/>
    </i>
    <i>
      <x v="3"/>
    </i>
    <i>
      <x v="1"/>
    </i>
    <i t="grand">
      <x/>
    </i>
  </rowItems>
  <colFields count="1">
    <field x="-2"/>
  </colFields>
  <colItems count="3">
    <i>
      <x/>
    </i>
    <i i="1">
      <x v="1"/>
    </i>
    <i i="2">
      <x v="2"/>
    </i>
  </colItems>
  <dataFields count="3">
    <dataField name="Sum of Total Utilization" fld="11" baseField="0" baseItem="0" numFmtId="10"/>
    <dataField name="Sum of Total Mvmt $" fld="7" baseField="0" baseItem="0"/>
    <dataField name="Sum of Total Loads" fld="4" baseField="0" baseItem="0"/>
  </dataFields>
  <formats count="2">
    <format dxfId="145">
      <pivotArea outline="0" collapsedLevelsAreSubtotals="1" fieldPosition="0">
        <references count="1">
          <reference field="4294967294" count="1" selected="0">
            <x v="0"/>
          </reference>
        </references>
      </pivotArea>
    </format>
    <format dxfId="14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2"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DED14-AA16-4CE0-AC56-C579E64EA0E1}"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43:L48"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x="0"/>
        <item h="1" x="3"/>
        <item h="1"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v="1"/>
    </i>
    <i r="1">
      <x v="26"/>
    </i>
    <i r="1">
      <x v="12"/>
    </i>
    <i r="1">
      <x v="33"/>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47">
      <pivotArea outline="0" collapsedLevelsAreSubtotals="1" fieldPosition="0">
        <references count="1">
          <reference field="4294967294" count="1" selected="0">
            <x v="2"/>
          </reference>
        </references>
      </pivotArea>
    </format>
    <format dxfId="14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1" iMeasureFld="2">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0F8FDC-87D8-463A-9A11-3582545F5AD0}" name="Week Ran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D32" firstHeaderRow="0" firstDataRow="1" firstDataCol="1"/>
  <pivotFields count="12">
    <pivotField numFmtId="14" showAll="0">
      <items count="3">
        <item x="0"/>
        <item h="1" x="1"/>
        <item t="default"/>
      </items>
    </pivotField>
    <pivotField numFmtId="14" showAll="0">
      <items count="9">
        <item x="0"/>
        <item x="3"/>
        <item x="1"/>
        <item x="4"/>
        <item x="5"/>
        <item x="6"/>
        <item x="7"/>
        <item x="2"/>
        <item t="default"/>
      </items>
    </pivotField>
    <pivotField showAll="0" measureFilter="1" sortType="ascending">
      <autoSortScope>
        <pivotArea dataOnly="0" outline="0" fieldPosition="0">
          <references count="1">
            <reference field="4294967294" count="1" selected="0">
              <x v="0"/>
            </reference>
          </references>
        </pivotArea>
      </autoSortScope>
    </pivotField>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3"/>
  </rowFields>
  <rowItems count="6">
    <i>
      <x/>
    </i>
    <i>
      <x v="2"/>
    </i>
    <i>
      <x v="3"/>
    </i>
    <i>
      <x v="4"/>
    </i>
    <i>
      <x v="1"/>
    </i>
    <i t="grand">
      <x/>
    </i>
  </rowItems>
  <colFields count="1">
    <field x="-2"/>
  </colFields>
  <colItems count="3">
    <i>
      <x/>
    </i>
    <i i="1">
      <x v="1"/>
    </i>
    <i i="2">
      <x v="2"/>
    </i>
  </colItems>
  <dataFields count="3">
    <dataField name="Sum of Total Utilization" fld="11" baseField="0" baseItem="0" numFmtId="10"/>
    <dataField name="Sum of Total Mvmt $" fld="7" baseField="0" baseItem="0"/>
    <dataField name="Sum of Total Loads" fld="4" baseField="0" baseItem="0"/>
  </dataFields>
  <formats count="2">
    <format dxfId="149">
      <pivotArea outline="0" collapsedLevelsAreSubtotals="1" fieldPosition="0">
        <references count="1">
          <reference field="4294967294" count="1" selected="0">
            <x v="0"/>
          </reference>
        </references>
      </pivotArea>
    </format>
    <format dxfId="14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2" type="count" evalOrder="-1" id="9"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351C6C-561B-4EB2-9A17-376F4B0A1F1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2">
    <pivotField axis="axisRow" numFmtId="14" showAll="0">
      <items count="3">
        <item x="0"/>
        <item h="1" x="1"/>
        <item t="default"/>
      </items>
    </pivotField>
    <pivotField numFmtId="14" showAll="0">
      <items count="9">
        <item x="0"/>
        <item x="3"/>
        <item x="1"/>
        <item x="4"/>
        <item x="5"/>
        <item x="6"/>
        <item x="7"/>
        <item x="2"/>
        <item t="default"/>
      </items>
    </pivotField>
    <pivotField showAll="0">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AC3FB5-D648-42AF-AC7E-32092BF9F7D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3:L88"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x="0"/>
        <item h="1" x="3"/>
        <item h="1"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v="1"/>
    </i>
    <i r="1">
      <x v="33"/>
    </i>
    <i r="1">
      <x v="12"/>
    </i>
    <i r="1">
      <x v="26"/>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51">
      <pivotArea outline="0" collapsedLevelsAreSubtotals="1" fieldPosition="0">
        <references count="1">
          <reference field="4294967294" count="1" selected="0">
            <x v="2"/>
          </reference>
        </references>
      </pivotArea>
    </format>
    <format dxfId="15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2" iMeasureFld="2">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0F7244-8ED5-48B9-AE72-88B0197C265A}" name="Week B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14" firstHeaderRow="0" firstDataRow="1" firstDataCol="1"/>
  <pivotFields count="12">
    <pivotField numFmtId="14" showAll="0">
      <items count="3">
        <item x="0"/>
        <item h="1" x="1"/>
        <item t="default"/>
      </items>
    </pivotField>
    <pivotField numFmtId="14" showAll="0">
      <items count="9">
        <item x="0"/>
        <item x="3"/>
        <item x="1"/>
        <item x="4"/>
        <item x="5"/>
        <item x="6"/>
        <item x="7"/>
        <item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2"/>
  </rowFields>
  <rowItems count="6">
    <i>
      <x/>
    </i>
    <i>
      <x v="13"/>
    </i>
    <i>
      <x v="27"/>
    </i>
    <i>
      <x v="35"/>
    </i>
    <i>
      <x v="10"/>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53">
      <pivotArea outline="0" collapsedLevelsAreSubtotals="1" fieldPosition="0">
        <references count="1">
          <reference field="4294967294" count="1" selected="0">
            <x v="2"/>
          </reference>
        </references>
      </pivotArea>
    </format>
    <format dxfId="15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7" iMeasureFld="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8F39F7-2CB4-4DE9-BAD2-2D3B0B14D1F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5" firstHeaderRow="1" firstDataRow="1" firstDataCol="1"/>
  <pivotFields count="12">
    <pivotField numFmtId="14" showAll="0"/>
    <pivotField axis="axisRow" numFmtId="14" showAll="0">
      <items count="9">
        <item h="1" x="0"/>
        <item h="1" x="3"/>
        <item h="1" x="1"/>
        <item x="4"/>
        <item h="1" x="5"/>
        <item h="1" x="6"/>
        <item h="1" x="7"/>
        <item h="1" x="2"/>
        <item t="default"/>
      </items>
    </pivotField>
    <pivotField showAll="0">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5063AD1-466E-4967-8512-3C26CD33F11C}" name="Week Outbound Wor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E80" firstHeaderRow="0" firstDataRow="1" firstDataCol="1"/>
  <pivotFields count="12">
    <pivotField numFmtId="14" showAll="0">
      <items count="3">
        <item x="0"/>
        <item h="1" x="1"/>
        <item t="default"/>
      </items>
    </pivotField>
    <pivotField numFmtId="14" showAll="0">
      <items count="9">
        <item x="0"/>
        <item x="3"/>
        <item x="1"/>
        <item x="4"/>
        <item x="5"/>
        <item x="6"/>
        <item x="7"/>
        <item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items count="6">
        <item x="1"/>
        <item x="0"/>
        <item x="3"/>
        <item x="2"/>
        <item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21">
    <i>
      <x/>
    </i>
    <i r="1">
      <x v="11"/>
    </i>
    <i r="1">
      <x v="36"/>
    </i>
    <i r="1">
      <x v="1"/>
    </i>
    <i>
      <x v="1"/>
    </i>
    <i r="1">
      <x v="34"/>
    </i>
    <i r="1">
      <x v="33"/>
    </i>
    <i r="1">
      <x v="14"/>
    </i>
    <i>
      <x v="2"/>
    </i>
    <i r="1">
      <x v="21"/>
    </i>
    <i r="1">
      <x v="15"/>
    </i>
    <i r="1">
      <x v="2"/>
    </i>
    <i>
      <x v="3"/>
    </i>
    <i r="1">
      <x v="8"/>
    </i>
    <i r="1">
      <x v="6"/>
    </i>
    <i r="1">
      <x v="30"/>
    </i>
    <i>
      <x v="4"/>
    </i>
    <i r="1">
      <x v="28"/>
    </i>
    <i r="1">
      <x v="37"/>
    </i>
    <i r="1">
      <x v="16"/>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55">
      <pivotArea outline="0" collapsedLevelsAreSubtotals="1" fieldPosition="0">
        <references count="1">
          <reference field="4294967294" count="1" selected="0">
            <x v="2"/>
          </reference>
        </references>
      </pivotArea>
    </format>
    <format dxfId="15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9" iMeasureFld="2">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FD5DFC-1F0C-41B1-B327-601B80990EDF}"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67:L72"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h="1" x="0"/>
        <item h="1" x="3"/>
        <item h="1" x="2"/>
        <item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v="4"/>
    </i>
    <i r="1">
      <x v="10"/>
    </i>
    <i r="1">
      <x v="5"/>
    </i>
    <i r="1">
      <x v="37"/>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57">
      <pivotArea outline="0" collapsedLevelsAreSubtotals="1" fieldPosition="0">
        <references count="1">
          <reference field="4294967294" count="1" selected="0">
            <x v="2"/>
          </reference>
        </references>
      </pivotArea>
    </format>
    <format dxfId="15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1" iMeasureFld="2">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AE986C-0A32-4122-85D5-AA6BF71EA5AE}" name="aily Outbound Wor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5:L80"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x="1"/>
        <item h="1" x="0"/>
        <item h="1" x="3"/>
        <item h="1"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i>
    <i r="1">
      <x v="11"/>
    </i>
    <i r="1">
      <x v="1"/>
    </i>
    <i r="1">
      <x v="36"/>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59">
      <pivotArea outline="0" collapsedLevelsAreSubtotals="1" fieldPosition="0">
        <references count="1">
          <reference field="4294967294" count="1" selected="0">
            <x v="2"/>
          </reference>
        </references>
      </pivotArea>
    </format>
    <format dxfId="158">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2" iMeasureFld="2">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0A6371-F713-4A6D-A865-E6CD061D0219}"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59:L63"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h="1" x="0"/>
        <item h="1" x="3"/>
        <item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4">
    <i>
      <x v="3"/>
    </i>
    <i r="1">
      <x v="27"/>
    </i>
    <i r="1">
      <x v="24"/>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61">
      <pivotArea outline="0" collapsedLevelsAreSubtotals="1" fieldPosition="0">
        <references count="1">
          <reference field="4294967294" count="1" selected="0">
            <x v="2"/>
          </reference>
        </references>
      </pivotArea>
    </format>
    <format dxfId="16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1" iMeasureFld="2">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86AC9F-0596-4D5B-9196-A76CB2B0C3E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7:L112"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h="1" x="0"/>
        <item h="1" x="3"/>
        <item h="1" x="2"/>
        <item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v="4"/>
    </i>
    <i r="1">
      <x v="37"/>
    </i>
    <i r="1">
      <x v="5"/>
    </i>
    <i r="1">
      <x v="10"/>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63">
      <pivotArea outline="0" collapsedLevelsAreSubtotals="1" fieldPosition="0">
        <references count="1">
          <reference field="4294967294" count="1" selected="0">
            <x v="2"/>
          </reference>
        </references>
      </pivotArea>
    </format>
    <format dxfId="16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2" iMeasureFld="2">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405E8D-4590-4CA2-81B8-5B30D5406A63}" name="Day Wor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L23"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2"/>
  </rowFields>
  <rowItems count="6">
    <i>
      <x v="33"/>
    </i>
    <i>
      <x v="11"/>
    </i>
    <i>
      <x v="24"/>
    </i>
    <i>
      <x v="23"/>
    </i>
    <i>
      <x v="1"/>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65">
      <pivotArea outline="0" collapsedLevelsAreSubtotals="1" fieldPosition="0">
        <references count="1">
          <reference field="4294967294" count="1" selected="0">
            <x v="2"/>
          </reference>
        </references>
      </pivotArea>
    </format>
    <format dxfId="16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9"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D013CA-1F85-47F8-9352-81DBC4E39469}" name="Week Outbound Be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E56" firstHeaderRow="0" firstDataRow="1" firstDataCol="1"/>
  <pivotFields count="12">
    <pivotField numFmtId="14" showAll="0">
      <items count="3">
        <item x="0"/>
        <item h="1" x="1"/>
        <item t="default"/>
      </items>
    </pivotField>
    <pivotField numFmtId="14" showAll="0">
      <items count="9">
        <item x="0"/>
        <item x="3"/>
        <item x="1"/>
        <item x="4"/>
        <item x="5"/>
        <item x="6"/>
        <item x="7"/>
        <item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items count="6">
        <item x="1"/>
        <item x="0"/>
        <item x="3"/>
        <item x="2"/>
        <item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21">
    <i>
      <x/>
    </i>
    <i r="1">
      <x v="13"/>
    </i>
    <i r="1">
      <x v="25"/>
    </i>
    <i r="1">
      <x v="17"/>
    </i>
    <i>
      <x v="1"/>
    </i>
    <i r="1">
      <x v="12"/>
    </i>
    <i r="1">
      <x v="29"/>
    </i>
    <i r="1">
      <x v="26"/>
    </i>
    <i>
      <x v="2"/>
    </i>
    <i r="1">
      <x v="35"/>
    </i>
    <i r="1">
      <x v="9"/>
    </i>
    <i r="1">
      <x v="20"/>
    </i>
    <i>
      <x v="3"/>
    </i>
    <i r="1">
      <x v="27"/>
    </i>
    <i r="1">
      <x v="7"/>
    </i>
    <i r="1">
      <x v="39"/>
    </i>
    <i>
      <x v="4"/>
    </i>
    <i r="1">
      <x/>
    </i>
    <i r="1">
      <x v="10"/>
    </i>
    <i r="1">
      <x v="40"/>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67">
      <pivotArea outline="0" collapsedLevelsAreSubtotals="1" fieldPosition="0">
        <references count="1">
          <reference field="4294967294" count="1" selected="0">
            <x v="2"/>
          </reference>
        </references>
      </pivotArea>
    </format>
    <format dxfId="16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8" iMeasureFld="2">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4D3A90C-4D6C-4444-A617-39FFB1C9F5C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9:L103"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h="1" x="1"/>
        <item h="1" x="0"/>
        <item h="1" x="3"/>
        <item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4">
    <i>
      <x v="3"/>
    </i>
    <i r="1">
      <x v="24"/>
    </i>
    <i r="1">
      <x v="27"/>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69">
      <pivotArea outline="0" collapsedLevelsAreSubtotals="1" fieldPosition="0">
        <references count="1">
          <reference field="4294967294" count="1" selected="0">
            <x v="2"/>
          </reference>
        </references>
      </pivotArea>
    </format>
    <format dxfId="168">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2" iMeasureFld="2">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1EC2B31-26DF-4C17-A098-B36BE2EF924C}" name="Week Wor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E23" firstHeaderRow="0" firstDataRow="1" firstDataCol="1"/>
  <pivotFields count="12">
    <pivotField numFmtId="14" showAll="0">
      <items count="3">
        <item x="0"/>
        <item h="1" x="1"/>
        <item t="default"/>
      </items>
    </pivotField>
    <pivotField numFmtId="14" showAll="0">
      <items count="9">
        <item x="0"/>
        <item x="3"/>
        <item x="1"/>
        <item x="4"/>
        <item x="5"/>
        <item x="6"/>
        <item x="7"/>
        <item x="2"/>
        <item t="default"/>
      </items>
    </pivotField>
    <pivotField axis="axisRow" showAll="0" measureFilter="1" sortType="a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2"/>
  </rowFields>
  <rowItems count="6">
    <i>
      <x v="8"/>
    </i>
    <i>
      <x v="34"/>
    </i>
    <i>
      <x v="33"/>
    </i>
    <i>
      <x v="6"/>
    </i>
    <i>
      <x v="30"/>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71">
      <pivotArea outline="0" collapsedLevelsAreSubtotals="1" fieldPosition="0">
        <references count="1">
          <reference field="4294967294" count="1" selected="0">
            <x v="2"/>
          </reference>
        </references>
      </pivotArea>
    </format>
    <format dxfId="17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9"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345A9E9-B325-49DF-9035-9222BA6EAC4A}" name="Daily Outbound Bes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35:L40" firstHeaderRow="0" firstDataRow="1" firstDataCol="1"/>
  <pivotFields count="12">
    <pivotField numFmtId="14" showAll="0"/>
    <pivotField numFmtId="14" showAll="0">
      <items count="9">
        <item h="1" x="0"/>
        <item h="1" x="3"/>
        <item h="1" x="1"/>
        <item x="4"/>
        <item h="1" x="5"/>
        <item h="1" x="6"/>
        <item h="1" x="7"/>
        <item h="1" x="2"/>
        <item t="default"/>
      </items>
    </pivotField>
    <pivotField axis="axisRow" showAll="0" measureFilter="1" sortType="descending">
      <items count="43">
        <item x="19"/>
        <item x="9"/>
        <item x="10"/>
        <item x="12"/>
        <item x="14"/>
        <item x="24"/>
        <item x="2"/>
        <item x="25"/>
        <item x="39"/>
        <item x="34"/>
        <item x="31"/>
        <item x="11"/>
        <item x="13"/>
        <item x="29"/>
        <item x="16"/>
        <item x="6"/>
        <item x="35"/>
        <item x="7"/>
        <item x="36"/>
        <item x="37"/>
        <item x="20"/>
        <item x="17"/>
        <item x="38"/>
        <item x="8"/>
        <item x="4"/>
        <item x="5"/>
        <item x="18"/>
        <item x="27"/>
        <item x="23"/>
        <item x="15"/>
        <item x="3"/>
        <item x="22"/>
        <item x="40"/>
        <item x="32"/>
        <item x="0"/>
        <item x="30"/>
        <item x="1"/>
        <item x="33"/>
        <item x="41"/>
        <item x="26"/>
        <item x="28"/>
        <item x="21"/>
        <item t="default"/>
      </items>
      <autoSortScope>
        <pivotArea dataOnly="0" outline="0" fieldPosition="0">
          <references count="1">
            <reference field="4294967294" count="1" selected="0">
              <x v="2"/>
            </reference>
          </references>
        </pivotArea>
      </autoSortScope>
    </pivotField>
    <pivotField axis="axisRow" showAll="0" sortType="ascending">
      <items count="6">
        <item x="1"/>
        <item h="1" x="0"/>
        <item h="1" x="3"/>
        <item h="1" x="2"/>
        <item h="1" x="4"/>
        <item t="default"/>
      </items>
    </pivotField>
    <pivotField showAll="0"/>
    <pivotField dataField="1" showAll="0"/>
    <pivotField dataField="1"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2">
    <field x="3"/>
    <field x="2"/>
  </rowFields>
  <rowItems count="5">
    <i>
      <x/>
    </i>
    <i r="1">
      <x v="25"/>
    </i>
    <i r="1">
      <x v="36"/>
    </i>
    <i r="1">
      <x v="1"/>
    </i>
    <i t="grand">
      <x/>
    </i>
  </rowItems>
  <colFields count="1">
    <field x="-2"/>
  </colFields>
  <colItems count="4">
    <i>
      <x/>
    </i>
    <i i="1">
      <x v="1"/>
    </i>
    <i i="2">
      <x v="2"/>
    </i>
    <i i="3">
      <x v="3"/>
    </i>
  </colItems>
  <dataFields count="4">
    <dataField name="Sum of Total Loaded Cube" fld="5" baseField="0" baseItem="0"/>
    <dataField name="Sum of Total Equip Cap" fld="6" baseField="0" baseItem="0"/>
    <dataField name="Sum of Total Utilization" fld="11" baseField="0" baseItem="0" numFmtId="10"/>
    <dataField name="Sum of Total Mvmt $" fld="7" baseField="0" baseItem="0"/>
  </dataFields>
  <formats count="2">
    <format dxfId="173">
      <pivotArea outline="0" collapsedLevelsAreSubtotals="1" fieldPosition="0">
        <references count="1">
          <reference field="4294967294" count="1" selected="0">
            <x v="2"/>
          </reference>
        </references>
      </pivotArea>
    </format>
    <format dxfId="17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filters count="1">
    <filter fld="2" type="count" evalOrder="-1" id="11" iMeasureFld="2">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D2364D-FCA2-47B6-B5BD-2D73510D482D}" autoFormatId="16" applyNumberFormats="0" applyBorderFormats="0" applyFontFormats="0" applyPatternFormats="0" applyAlignmentFormats="0" applyWidthHeightFormats="0">
  <queryTableRefresh nextId="54">
    <queryTableFields count="9">
      <queryTableField id="47" name="Week Ending" tableColumnId="47"/>
      <queryTableField id="1" name="Ld Create Dt" tableColumnId="1"/>
      <queryTableField id="49" name="Load Information Lookup.Destinations" tableColumnId="49"/>
      <queryTableField id="50" name="Outbound Lineup.Column3" tableColumnId="50"/>
      <queryTableField id="26" name="Total Loads" tableColumnId="26"/>
      <queryTableField id="28" name="Total Loaded Cube" tableColumnId="28"/>
      <queryTableField id="29" name="Total Equip Cap" tableColumnId="29"/>
      <queryTableField id="36" name="Total Mvmt $" tableColumnId="36"/>
      <queryTableField id="48" name="Destination" tableColumnId="4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Ending" xr10:uid="{EBDE03D5-046C-4892-AD69-530377482A83}" sourceName="Week Ending">
  <pivotTables>
    <pivotTable tabId="12" name="Week Best"/>
    <pivotTable tabId="12" name="Week Worst"/>
    <pivotTable tabId="12" name="Week Rank"/>
    <pivotTable tabId="12" name="Week Outbound Best"/>
    <pivotTable tabId="12" name="Week Outbound Worst"/>
    <pivotTable tabId="12" name="PivotTable13"/>
  </pivotTables>
  <data>
    <tabular pivotCacheId="171002014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d_Create_Dt" xr10:uid="{37393D00-156E-496D-92A2-5CF3CB73CA6A}" sourceName="Ld Create Dt">
  <pivotTables>
    <pivotTable tabId="12" name="Day Best"/>
    <pivotTable tabId="12" name="Day Rank"/>
    <pivotTable tabId="12" name="Day Worst"/>
    <pivotTable tabId="12" name="Daily Outbound Best"/>
    <pivotTable tabId="12" name="aily Outbound Worst"/>
    <pivotTable tabId="12" name="PivotTable12"/>
    <pivotTable tabId="12" name="PivotTable14"/>
    <pivotTable tabId="12" name="PivotTable15"/>
    <pivotTable tabId="12" name="PivotTable16"/>
    <pivotTable tabId="12" name="PivotTable17"/>
    <pivotTable tabId="12" name="PivotTable18"/>
    <pivotTable tabId="12" name="PivotTable19"/>
    <pivotTable tabId="12" name="PivotTable20"/>
    <pivotTable tabId="12" name="PivotTable21"/>
  </pivotTables>
  <data>
    <tabular pivotCacheId="1710020143">
      <items count="8">
        <i x="0"/>
        <i x="3"/>
        <i x="1"/>
        <i x="4" s="1"/>
        <i x="5"/>
        <i x="6"/>
        <i x="7"/>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Ending 1" xr10:uid="{36A29086-56BA-4AF3-9A01-58800C7FE1EE}" cache="Slicer_Week_Ending" caption="Week Ending" rowHeight="257175"/>
  <slicer name="Ld Create Dt 1" xr10:uid="{3492F5E5-906A-4E13-B0AA-A870686DCBC8}" cache="Slicer_Ld_Create_Dt" caption="Ld Create D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8FD270-F6E3-4E33-93C8-FA279C751F52}" name="Cube_Utilization_Data" displayName="Cube_Utilization_Data" ref="A1:I209" tableType="queryTable" totalsRowShown="0">
  <autoFilter ref="A1:I209" xr:uid="{D98FD270-F6E3-4E33-93C8-FA279C751F52}"/>
  <tableColumns count="9">
    <tableColumn id="47" xr3:uid="{F225A0DA-7ECB-42A4-B4BC-394F58598A82}" uniqueName="47" name="Week Ending" queryTableFieldId="47" dataDxfId="177"/>
    <tableColumn id="1" xr3:uid="{FB00E7EF-82AB-4A1C-986A-425379F4CAA0}" uniqueName="1" name="Ld Create Dt" queryTableFieldId="1" dataDxfId="176"/>
    <tableColumn id="49" xr3:uid="{4C4C4B7E-9B27-495F-B15B-0BE05E398559}" uniqueName="49" name="Load Information Lookup.Destinations" queryTableFieldId="49" dataDxfId="175"/>
    <tableColumn id="50" xr3:uid="{2CD3FC28-E766-4431-BE24-5675D58961A7}" uniqueName="50" name="Outbound Lineup.Column3" queryTableFieldId="50" dataDxfId="174"/>
    <tableColumn id="26" xr3:uid="{8D8F55B4-B7C5-4D0C-BC9A-9149E728BBBB}" uniqueName="26" name="Total Loads" queryTableFieldId="26"/>
    <tableColumn id="28" xr3:uid="{CE2D278B-F69A-496A-BBDE-F5EF21DB780F}" uniqueName="28" name="Total Loaded Cube" queryTableFieldId="28"/>
    <tableColumn id="29" xr3:uid="{8B6A4109-C313-469E-AB9F-E2C0C2D5CE8E}" uniqueName="29" name="Total Equip Cap" queryTableFieldId="29"/>
    <tableColumn id="36" xr3:uid="{EEE41D4E-7950-4284-93D7-D5CD38A2E8A0}" uniqueName="36" name="Total Mvmt $" queryTableFieldId="36"/>
    <tableColumn id="48" xr3:uid="{0CFDB7C2-EF18-42B8-8040-CA9E873C3758}" uniqueName="48" name="Destination" queryTableFieldId="4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E415-3DF1-4904-ABD8-D4011BF0686C}">
  <dimension ref="A1:AU209"/>
  <sheetViews>
    <sheetView topLeftCell="A175" workbookViewId="0">
      <selection activeCell="C213" sqref="C213"/>
    </sheetView>
  </sheetViews>
  <sheetFormatPr defaultRowHeight="15" x14ac:dyDescent="0.25"/>
  <cols>
    <col min="1" max="1" width="15" bestFit="1" customWidth="1"/>
    <col min="2" max="2" width="14.5703125" bestFit="1" customWidth="1"/>
    <col min="3" max="3" width="38.5703125" bestFit="1" customWidth="1"/>
    <col min="4" max="4" width="28.140625" bestFit="1" customWidth="1"/>
    <col min="5" max="5" width="13.42578125" bestFit="1" customWidth="1"/>
    <col min="6" max="6" width="20.28515625" bestFit="1" customWidth="1"/>
    <col min="7" max="7" width="17.42578125" bestFit="1" customWidth="1"/>
    <col min="8" max="8" width="14.5703125" bestFit="1" customWidth="1"/>
    <col min="9" max="9" width="13.85546875" bestFit="1" customWidth="1"/>
    <col min="10" max="10" width="8.42578125" bestFit="1" customWidth="1"/>
    <col min="11" max="11" width="9.7109375" bestFit="1" customWidth="1"/>
    <col min="12" max="12" width="11.7109375" bestFit="1" customWidth="1"/>
    <col min="13" max="13" width="12.28515625" bestFit="1" customWidth="1"/>
    <col min="14" max="14" width="12.140625" bestFit="1" customWidth="1"/>
    <col min="15" max="15" width="13.42578125" bestFit="1" customWidth="1"/>
    <col min="16" max="16" width="18.85546875" bestFit="1" customWidth="1"/>
    <col min="17" max="17" width="16.140625" bestFit="1" customWidth="1"/>
    <col min="18" max="18" width="12.140625" bestFit="1" customWidth="1"/>
    <col min="19" max="19" width="10.140625" bestFit="1" customWidth="1"/>
    <col min="20" max="20" width="11" bestFit="1" customWidth="1"/>
    <col min="21" max="21" width="11.28515625" bestFit="1" customWidth="1"/>
    <col min="22" max="22" width="10.140625" bestFit="1" customWidth="1"/>
    <col min="23" max="23" width="11.7109375" bestFit="1" customWidth="1"/>
    <col min="24" max="24" width="13.28515625" bestFit="1" customWidth="1"/>
    <col min="25" max="25" width="12.28515625" bestFit="1" customWidth="1"/>
    <col min="26" max="26" width="13.42578125" bestFit="1" customWidth="1"/>
    <col min="27" max="27" width="14.7109375" bestFit="1" customWidth="1"/>
    <col min="28" max="28" width="20.28515625" bestFit="1" customWidth="1"/>
    <col min="29" max="29" width="17.42578125" bestFit="1" customWidth="1"/>
    <col min="30" max="30" width="13.42578125" bestFit="1" customWidth="1"/>
    <col min="31" max="31" width="11.42578125" bestFit="1" customWidth="1"/>
    <col min="32" max="32" width="12.28515625" bestFit="1" customWidth="1"/>
    <col min="33" max="33" width="12.5703125" bestFit="1" customWidth="1"/>
    <col min="34" max="34" width="11.42578125" bestFit="1" customWidth="1"/>
    <col min="35" max="35" width="13" bestFit="1" customWidth="1"/>
    <col min="36" max="36" width="14.5703125" bestFit="1" customWidth="1"/>
    <col min="37" max="37" width="17.28515625" bestFit="1" customWidth="1"/>
    <col min="38" max="38" width="19" bestFit="1" customWidth="1"/>
    <col min="39" max="39" width="10.7109375" bestFit="1" customWidth="1"/>
    <col min="40" max="40" width="12.28515625" bestFit="1" customWidth="1"/>
    <col min="41" max="41" width="11.7109375" bestFit="1" customWidth="1"/>
    <col min="42" max="42" width="16.85546875" bestFit="1" customWidth="1"/>
    <col min="43" max="43" width="15.5703125" bestFit="1" customWidth="1"/>
    <col min="44" max="44" width="12.5703125" bestFit="1" customWidth="1"/>
    <col min="45" max="45" width="10.140625" bestFit="1" customWidth="1"/>
    <col min="46" max="46" width="13.140625" bestFit="1" customWidth="1"/>
    <col min="47" max="47" width="15" style="1" bestFit="1" customWidth="1"/>
    <col min="48" max="48" width="13.85546875" bestFit="1" customWidth="1"/>
    <col min="49" max="49" width="38.5703125" bestFit="1" customWidth="1"/>
    <col min="50" max="50" width="28.140625" bestFit="1" customWidth="1"/>
  </cols>
  <sheetData>
    <row r="1" spans="1:47" x14ac:dyDescent="0.25">
      <c r="A1" s="1" t="s">
        <v>449</v>
      </c>
      <c r="B1" t="s">
        <v>0</v>
      </c>
      <c r="C1" t="s">
        <v>450</v>
      </c>
      <c r="D1" t="s">
        <v>451</v>
      </c>
      <c r="E1" t="s">
        <v>1</v>
      </c>
      <c r="F1" t="s">
        <v>2</v>
      </c>
      <c r="G1" t="s">
        <v>3</v>
      </c>
      <c r="H1" t="s">
        <v>4</v>
      </c>
      <c r="I1" t="s">
        <v>448</v>
      </c>
      <c r="AU1"/>
    </row>
    <row r="2" spans="1:47" x14ac:dyDescent="0.25">
      <c r="A2" s="1">
        <v>45717</v>
      </c>
      <c r="B2" s="1">
        <v>45712</v>
      </c>
      <c r="C2" t="s">
        <v>328</v>
      </c>
      <c r="D2" t="s">
        <v>438</v>
      </c>
      <c r="E2">
        <v>1</v>
      </c>
      <c r="F2">
        <v>552</v>
      </c>
      <c r="G2">
        <v>1982</v>
      </c>
      <c r="H2">
        <v>601</v>
      </c>
      <c r="I2" t="s">
        <v>329</v>
      </c>
      <c r="AU2"/>
    </row>
    <row r="3" spans="1:47" x14ac:dyDescent="0.25">
      <c r="A3" s="1">
        <v>45717</v>
      </c>
      <c r="B3" s="1">
        <v>45714</v>
      </c>
      <c r="C3" t="s">
        <v>328</v>
      </c>
      <c r="D3" t="s">
        <v>438</v>
      </c>
      <c r="E3">
        <v>1</v>
      </c>
      <c r="F3">
        <v>26</v>
      </c>
      <c r="G3">
        <v>1982</v>
      </c>
      <c r="H3">
        <v>600.54</v>
      </c>
      <c r="I3" t="s">
        <v>329</v>
      </c>
      <c r="AU3"/>
    </row>
    <row r="4" spans="1:47" x14ac:dyDescent="0.25">
      <c r="A4" s="1">
        <v>45724</v>
      </c>
      <c r="B4" s="1">
        <v>45721</v>
      </c>
      <c r="C4" t="s">
        <v>328</v>
      </c>
      <c r="D4" t="s">
        <v>438</v>
      </c>
      <c r="E4">
        <v>1</v>
      </c>
      <c r="F4">
        <v>685</v>
      </c>
      <c r="G4">
        <v>1982</v>
      </c>
      <c r="H4">
        <v>600.54</v>
      </c>
      <c r="I4" t="s">
        <v>329</v>
      </c>
      <c r="AU4"/>
    </row>
    <row r="5" spans="1:47" x14ac:dyDescent="0.25">
      <c r="A5" s="1">
        <v>45717</v>
      </c>
      <c r="B5" s="1">
        <v>45712</v>
      </c>
      <c r="C5" t="s">
        <v>349</v>
      </c>
      <c r="D5" t="s">
        <v>437</v>
      </c>
      <c r="E5">
        <v>3</v>
      </c>
      <c r="F5">
        <v>6125</v>
      </c>
      <c r="G5">
        <v>9642</v>
      </c>
      <c r="H5">
        <v>899.48</v>
      </c>
      <c r="I5" t="s">
        <v>350</v>
      </c>
      <c r="AU5"/>
    </row>
    <row r="6" spans="1:47" x14ac:dyDescent="0.25">
      <c r="A6" s="1">
        <v>45717</v>
      </c>
      <c r="B6" s="1">
        <v>45712</v>
      </c>
      <c r="C6" t="s">
        <v>349</v>
      </c>
      <c r="D6" t="s">
        <v>437</v>
      </c>
      <c r="E6">
        <v>3</v>
      </c>
      <c r="F6">
        <v>6125</v>
      </c>
      <c r="G6">
        <v>9642</v>
      </c>
      <c r="H6">
        <v>899.48</v>
      </c>
      <c r="I6" t="s">
        <v>350</v>
      </c>
      <c r="AU6"/>
    </row>
    <row r="7" spans="1:47" x14ac:dyDescent="0.25">
      <c r="A7" s="1">
        <v>45717</v>
      </c>
      <c r="B7" s="1">
        <v>45713</v>
      </c>
      <c r="C7" t="s">
        <v>349</v>
      </c>
      <c r="D7" t="s">
        <v>437</v>
      </c>
      <c r="E7">
        <v>2</v>
      </c>
      <c r="F7">
        <v>2550</v>
      </c>
      <c r="G7">
        <v>5812</v>
      </c>
      <c r="H7">
        <v>539.69000000000005</v>
      </c>
      <c r="I7" t="s">
        <v>350</v>
      </c>
      <c r="AU7"/>
    </row>
    <row r="8" spans="1:47" x14ac:dyDescent="0.25">
      <c r="A8" s="1">
        <v>45717</v>
      </c>
      <c r="B8" s="1">
        <v>45713</v>
      </c>
      <c r="C8" t="s">
        <v>349</v>
      </c>
      <c r="D8" t="s">
        <v>437</v>
      </c>
      <c r="E8">
        <v>2</v>
      </c>
      <c r="F8">
        <v>2550</v>
      </c>
      <c r="G8">
        <v>5812</v>
      </c>
      <c r="H8">
        <v>539.69000000000005</v>
      </c>
      <c r="I8" t="s">
        <v>350</v>
      </c>
      <c r="AU8"/>
    </row>
    <row r="9" spans="1:47" x14ac:dyDescent="0.25">
      <c r="A9" s="1">
        <v>45717</v>
      </c>
      <c r="B9" s="1">
        <v>45714</v>
      </c>
      <c r="C9" t="s">
        <v>349</v>
      </c>
      <c r="D9" t="s">
        <v>437</v>
      </c>
      <c r="E9">
        <v>1</v>
      </c>
      <c r="F9">
        <v>2221</v>
      </c>
      <c r="G9">
        <v>3818</v>
      </c>
      <c r="H9">
        <v>372.32</v>
      </c>
      <c r="I9" t="s">
        <v>350</v>
      </c>
      <c r="AU9"/>
    </row>
    <row r="10" spans="1:47" x14ac:dyDescent="0.25">
      <c r="A10" s="1">
        <v>45717</v>
      </c>
      <c r="B10" s="1">
        <v>45714</v>
      </c>
      <c r="C10" t="s">
        <v>349</v>
      </c>
      <c r="D10" t="s">
        <v>437</v>
      </c>
      <c r="E10">
        <v>1</v>
      </c>
      <c r="F10">
        <v>2221</v>
      </c>
      <c r="G10">
        <v>3818</v>
      </c>
      <c r="H10">
        <v>372.32</v>
      </c>
      <c r="I10" t="s">
        <v>350</v>
      </c>
      <c r="AU10"/>
    </row>
    <row r="11" spans="1:47" x14ac:dyDescent="0.25">
      <c r="A11" s="1">
        <v>45717</v>
      </c>
      <c r="B11" s="1">
        <v>45715</v>
      </c>
      <c r="C11" t="s">
        <v>349</v>
      </c>
      <c r="D11" t="s">
        <v>437</v>
      </c>
      <c r="E11">
        <v>2</v>
      </c>
      <c r="F11">
        <v>4174</v>
      </c>
      <c r="G11">
        <v>5800</v>
      </c>
      <c r="H11">
        <v>540</v>
      </c>
      <c r="I11" t="s">
        <v>350</v>
      </c>
      <c r="AU11"/>
    </row>
    <row r="12" spans="1:47" x14ac:dyDescent="0.25">
      <c r="A12" s="1">
        <v>45717</v>
      </c>
      <c r="B12" s="1">
        <v>45715</v>
      </c>
      <c r="C12" t="s">
        <v>349</v>
      </c>
      <c r="D12" t="s">
        <v>437</v>
      </c>
      <c r="E12">
        <v>2</v>
      </c>
      <c r="F12">
        <v>4174</v>
      </c>
      <c r="G12">
        <v>5800</v>
      </c>
      <c r="H12">
        <v>540</v>
      </c>
      <c r="I12" t="s">
        <v>350</v>
      </c>
      <c r="AU12"/>
    </row>
    <row r="13" spans="1:47" x14ac:dyDescent="0.25">
      <c r="A13" s="1">
        <v>45717</v>
      </c>
      <c r="B13" s="1">
        <v>45716</v>
      </c>
      <c r="C13" t="s">
        <v>349</v>
      </c>
      <c r="D13" t="s">
        <v>437</v>
      </c>
      <c r="E13">
        <v>2</v>
      </c>
      <c r="F13">
        <v>4069</v>
      </c>
      <c r="G13">
        <v>5800</v>
      </c>
      <c r="H13">
        <v>552</v>
      </c>
      <c r="I13" t="s">
        <v>350</v>
      </c>
      <c r="AU13"/>
    </row>
    <row r="14" spans="1:47" x14ac:dyDescent="0.25">
      <c r="A14" s="1">
        <v>45717</v>
      </c>
      <c r="B14" s="1">
        <v>45716</v>
      </c>
      <c r="C14" t="s">
        <v>349</v>
      </c>
      <c r="D14" t="s">
        <v>437</v>
      </c>
      <c r="E14">
        <v>2</v>
      </c>
      <c r="F14">
        <v>4069</v>
      </c>
      <c r="G14">
        <v>5800</v>
      </c>
      <c r="H14">
        <v>552</v>
      </c>
      <c r="I14" t="s">
        <v>350</v>
      </c>
      <c r="AU14"/>
    </row>
    <row r="15" spans="1:47" x14ac:dyDescent="0.25">
      <c r="A15" s="1">
        <v>45724</v>
      </c>
      <c r="B15" s="1">
        <v>45719</v>
      </c>
      <c r="C15" t="s">
        <v>349</v>
      </c>
      <c r="D15" t="s">
        <v>437</v>
      </c>
      <c r="E15">
        <v>2</v>
      </c>
      <c r="F15">
        <v>5606</v>
      </c>
      <c r="G15">
        <v>7648</v>
      </c>
      <c r="H15">
        <v>720</v>
      </c>
      <c r="I15" t="s">
        <v>350</v>
      </c>
      <c r="AU15"/>
    </row>
    <row r="16" spans="1:47" x14ac:dyDescent="0.25">
      <c r="A16" s="1">
        <v>45724</v>
      </c>
      <c r="B16" s="1">
        <v>45719</v>
      </c>
      <c r="C16" t="s">
        <v>349</v>
      </c>
      <c r="D16" t="s">
        <v>437</v>
      </c>
      <c r="E16">
        <v>2</v>
      </c>
      <c r="F16">
        <v>5606</v>
      </c>
      <c r="G16">
        <v>7648</v>
      </c>
      <c r="H16">
        <v>720</v>
      </c>
      <c r="I16" t="s">
        <v>350</v>
      </c>
      <c r="AU16"/>
    </row>
    <row r="17" spans="1:47" x14ac:dyDescent="0.25">
      <c r="A17" s="1">
        <v>45724</v>
      </c>
      <c r="B17" s="1">
        <v>45720</v>
      </c>
      <c r="C17" t="s">
        <v>349</v>
      </c>
      <c r="D17" t="s">
        <v>437</v>
      </c>
      <c r="E17">
        <v>2</v>
      </c>
      <c r="F17">
        <v>3136</v>
      </c>
      <c r="G17">
        <v>5800</v>
      </c>
      <c r="H17">
        <v>539.69000000000005</v>
      </c>
      <c r="I17" t="s">
        <v>350</v>
      </c>
      <c r="AU17"/>
    </row>
    <row r="18" spans="1:47" x14ac:dyDescent="0.25">
      <c r="A18" s="1">
        <v>45724</v>
      </c>
      <c r="B18" s="1">
        <v>45720</v>
      </c>
      <c r="C18" t="s">
        <v>349</v>
      </c>
      <c r="D18" t="s">
        <v>437</v>
      </c>
      <c r="E18">
        <v>2</v>
      </c>
      <c r="F18">
        <v>3136</v>
      </c>
      <c r="G18">
        <v>5800</v>
      </c>
      <c r="H18">
        <v>539.69000000000005</v>
      </c>
      <c r="I18" t="s">
        <v>350</v>
      </c>
      <c r="AU18"/>
    </row>
    <row r="19" spans="1:47" x14ac:dyDescent="0.25">
      <c r="A19" s="1">
        <v>45717</v>
      </c>
      <c r="B19" s="1">
        <v>45712</v>
      </c>
      <c r="C19" t="s">
        <v>102</v>
      </c>
      <c r="D19" t="s">
        <v>440</v>
      </c>
      <c r="E19">
        <v>1</v>
      </c>
      <c r="F19">
        <v>1021</v>
      </c>
      <c r="G19">
        <v>3230</v>
      </c>
      <c r="H19">
        <v>560.27</v>
      </c>
      <c r="I19" t="s">
        <v>103</v>
      </c>
      <c r="AU19"/>
    </row>
    <row r="20" spans="1:47" x14ac:dyDescent="0.25">
      <c r="A20" s="1">
        <v>45717</v>
      </c>
      <c r="B20" s="1">
        <v>45712</v>
      </c>
      <c r="C20" t="s">
        <v>295</v>
      </c>
      <c r="D20" t="s">
        <v>440</v>
      </c>
      <c r="E20">
        <v>1</v>
      </c>
      <c r="F20">
        <v>1246</v>
      </c>
      <c r="G20">
        <v>3830</v>
      </c>
      <c r="H20">
        <v>216.75</v>
      </c>
      <c r="I20" t="s">
        <v>296</v>
      </c>
      <c r="AU20"/>
    </row>
    <row r="21" spans="1:47" x14ac:dyDescent="0.25">
      <c r="A21" s="1">
        <v>45717</v>
      </c>
      <c r="B21" s="1">
        <v>45712</v>
      </c>
      <c r="C21" t="s">
        <v>216</v>
      </c>
      <c r="D21" t="s">
        <v>440</v>
      </c>
      <c r="E21">
        <v>1</v>
      </c>
      <c r="F21">
        <v>1524</v>
      </c>
      <c r="G21">
        <v>3830</v>
      </c>
      <c r="H21">
        <v>214.2</v>
      </c>
      <c r="I21" t="s">
        <v>217</v>
      </c>
      <c r="AU21"/>
    </row>
    <row r="22" spans="1:47" x14ac:dyDescent="0.25">
      <c r="A22" s="1">
        <v>45717</v>
      </c>
      <c r="B22" s="1">
        <v>45713</v>
      </c>
      <c r="C22" t="s">
        <v>216</v>
      </c>
      <c r="D22" t="s">
        <v>440</v>
      </c>
      <c r="E22">
        <v>2</v>
      </c>
      <c r="F22">
        <v>3824</v>
      </c>
      <c r="G22">
        <v>7660</v>
      </c>
      <c r="H22">
        <v>428</v>
      </c>
      <c r="I22" t="s">
        <v>217</v>
      </c>
      <c r="AU22"/>
    </row>
    <row r="23" spans="1:47" x14ac:dyDescent="0.25">
      <c r="A23" s="1">
        <v>45717</v>
      </c>
      <c r="B23" s="1">
        <v>45714</v>
      </c>
      <c r="C23" t="s">
        <v>216</v>
      </c>
      <c r="D23" t="s">
        <v>440</v>
      </c>
      <c r="E23">
        <v>1</v>
      </c>
      <c r="F23">
        <v>166</v>
      </c>
      <c r="G23">
        <v>1982</v>
      </c>
      <c r="H23">
        <v>107.1</v>
      </c>
      <c r="I23" t="s">
        <v>217</v>
      </c>
      <c r="AU23"/>
    </row>
    <row r="24" spans="1:47" x14ac:dyDescent="0.25">
      <c r="A24" s="1">
        <v>45717</v>
      </c>
      <c r="B24" s="1">
        <v>45715</v>
      </c>
      <c r="C24" t="s">
        <v>216</v>
      </c>
      <c r="D24" t="s">
        <v>440</v>
      </c>
      <c r="E24">
        <v>1</v>
      </c>
      <c r="F24">
        <v>968</v>
      </c>
      <c r="G24">
        <v>3818</v>
      </c>
      <c r="H24">
        <v>214.2</v>
      </c>
      <c r="I24" t="s">
        <v>217</v>
      </c>
      <c r="AU24"/>
    </row>
    <row r="25" spans="1:47" x14ac:dyDescent="0.25">
      <c r="A25" s="1">
        <v>45717</v>
      </c>
      <c r="B25" s="1">
        <v>45716</v>
      </c>
      <c r="C25" t="s">
        <v>216</v>
      </c>
      <c r="D25" t="s">
        <v>440</v>
      </c>
      <c r="E25">
        <v>1</v>
      </c>
      <c r="F25">
        <v>1191</v>
      </c>
      <c r="G25">
        <v>3830</v>
      </c>
      <c r="H25">
        <v>214.2</v>
      </c>
      <c r="I25" t="s">
        <v>217</v>
      </c>
      <c r="AU25"/>
    </row>
    <row r="26" spans="1:47" x14ac:dyDescent="0.25">
      <c r="A26" s="1">
        <v>45724</v>
      </c>
      <c r="B26" s="1">
        <v>45719</v>
      </c>
      <c r="C26" t="s">
        <v>216</v>
      </c>
      <c r="D26" t="s">
        <v>440</v>
      </c>
      <c r="E26">
        <v>1</v>
      </c>
      <c r="F26">
        <v>2297</v>
      </c>
      <c r="G26">
        <v>3830</v>
      </c>
      <c r="H26">
        <v>214.2</v>
      </c>
      <c r="I26" t="s">
        <v>217</v>
      </c>
      <c r="AU26"/>
    </row>
    <row r="27" spans="1:47" x14ac:dyDescent="0.25">
      <c r="A27" s="1">
        <v>45724</v>
      </c>
      <c r="B27" s="1">
        <v>45720</v>
      </c>
      <c r="C27" t="s">
        <v>216</v>
      </c>
      <c r="D27" t="s">
        <v>440</v>
      </c>
      <c r="E27">
        <v>2</v>
      </c>
      <c r="F27">
        <v>3910</v>
      </c>
      <c r="G27">
        <v>7060</v>
      </c>
      <c r="H27">
        <v>428</v>
      </c>
      <c r="I27" t="s">
        <v>217</v>
      </c>
      <c r="AU27"/>
    </row>
    <row r="28" spans="1:47" x14ac:dyDescent="0.25">
      <c r="A28" s="1">
        <v>45717</v>
      </c>
      <c r="B28" s="1">
        <v>45712</v>
      </c>
      <c r="C28" t="s">
        <v>220</v>
      </c>
      <c r="D28" t="s">
        <v>437</v>
      </c>
      <c r="E28">
        <v>1</v>
      </c>
      <c r="F28">
        <v>2835</v>
      </c>
      <c r="G28">
        <v>3818</v>
      </c>
      <c r="H28">
        <v>927.22</v>
      </c>
      <c r="I28" t="s">
        <v>221</v>
      </c>
      <c r="AU28"/>
    </row>
    <row r="29" spans="1:47" x14ac:dyDescent="0.25">
      <c r="A29" s="1">
        <v>45717</v>
      </c>
      <c r="B29" s="1">
        <v>45712</v>
      </c>
      <c r="C29" t="s">
        <v>220</v>
      </c>
      <c r="D29" t="s">
        <v>437</v>
      </c>
      <c r="E29">
        <v>1</v>
      </c>
      <c r="F29">
        <v>2835</v>
      </c>
      <c r="G29">
        <v>3818</v>
      </c>
      <c r="H29">
        <v>927.22</v>
      </c>
      <c r="I29" t="s">
        <v>221</v>
      </c>
      <c r="AU29"/>
    </row>
    <row r="30" spans="1:47" x14ac:dyDescent="0.25">
      <c r="A30" s="1">
        <v>45717</v>
      </c>
      <c r="B30" s="1">
        <v>45714</v>
      </c>
      <c r="C30" t="s">
        <v>220</v>
      </c>
      <c r="D30" t="s">
        <v>437</v>
      </c>
      <c r="E30">
        <v>1</v>
      </c>
      <c r="F30">
        <v>3001</v>
      </c>
      <c r="G30">
        <v>3830</v>
      </c>
      <c r="H30">
        <v>927.22</v>
      </c>
      <c r="I30" t="s">
        <v>221</v>
      </c>
      <c r="AU30"/>
    </row>
    <row r="31" spans="1:47" x14ac:dyDescent="0.25">
      <c r="A31" s="1">
        <v>45717</v>
      </c>
      <c r="B31" s="1">
        <v>45714</v>
      </c>
      <c r="C31" t="s">
        <v>220</v>
      </c>
      <c r="D31" t="s">
        <v>437</v>
      </c>
      <c r="E31">
        <v>1</v>
      </c>
      <c r="F31">
        <v>3001</v>
      </c>
      <c r="G31">
        <v>3830</v>
      </c>
      <c r="H31">
        <v>927.22</v>
      </c>
      <c r="I31" t="s">
        <v>221</v>
      </c>
      <c r="AU31"/>
    </row>
    <row r="32" spans="1:47" x14ac:dyDescent="0.25">
      <c r="A32" s="1">
        <v>45717</v>
      </c>
      <c r="B32" s="1">
        <v>45715</v>
      </c>
      <c r="C32" t="s">
        <v>220</v>
      </c>
      <c r="D32" t="s">
        <v>437</v>
      </c>
      <c r="E32">
        <v>1</v>
      </c>
      <c r="F32">
        <v>2804</v>
      </c>
      <c r="G32">
        <v>3818</v>
      </c>
      <c r="H32">
        <v>927.22</v>
      </c>
      <c r="I32" t="s">
        <v>221</v>
      </c>
      <c r="AU32"/>
    </row>
    <row r="33" spans="1:47" x14ac:dyDescent="0.25">
      <c r="A33" s="1">
        <v>45717</v>
      </c>
      <c r="B33" s="1">
        <v>45715</v>
      </c>
      <c r="C33" t="s">
        <v>220</v>
      </c>
      <c r="D33" t="s">
        <v>437</v>
      </c>
      <c r="E33">
        <v>1</v>
      </c>
      <c r="F33">
        <v>2804</v>
      </c>
      <c r="G33">
        <v>3818</v>
      </c>
      <c r="H33">
        <v>927.22</v>
      </c>
      <c r="I33" t="s">
        <v>221</v>
      </c>
      <c r="AU33"/>
    </row>
    <row r="34" spans="1:47" x14ac:dyDescent="0.25">
      <c r="A34" s="1">
        <v>45724</v>
      </c>
      <c r="B34" s="1">
        <v>45719</v>
      </c>
      <c r="C34" t="s">
        <v>220</v>
      </c>
      <c r="D34" t="s">
        <v>437</v>
      </c>
      <c r="E34">
        <v>1</v>
      </c>
      <c r="F34">
        <v>3025</v>
      </c>
      <c r="G34">
        <v>3830</v>
      </c>
      <c r="H34">
        <v>927</v>
      </c>
      <c r="I34" t="s">
        <v>221</v>
      </c>
      <c r="AU34"/>
    </row>
    <row r="35" spans="1:47" x14ac:dyDescent="0.25">
      <c r="A35" s="1">
        <v>45724</v>
      </c>
      <c r="B35" s="1">
        <v>45719</v>
      </c>
      <c r="C35" t="s">
        <v>220</v>
      </c>
      <c r="D35" t="s">
        <v>437</v>
      </c>
      <c r="E35">
        <v>1</v>
      </c>
      <c r="F35">
        <v>3025</v>
      </c>
      <c r="G35">
        <v>3830</v>
      </c>
      <c r="H35">
        <v>927</v>
      </c>
      <c r="I35" t="s">
        <v>221</v>
      </c>
      <c r="AU35"/>
    </row>
    <row r="36" spans="1:47" x14ac:dyDescent="0.25">
      <c r="A36" s="1">
        <v>45724</v>
      </c>
      <c r="B36" s="1">
        <v>45720</v>
      </c>
      <c r="C36" t="s">
        <v>220</v>
      </c>
      <c r="D36" t="s">
        <v>437</v>
      </c>
      <c r="E36">
        <v>1</v>
      </c>
      <c r="F36">
        <v>2727</v>
      </c>
      <c r="G36">
        <v>3818</v>
      </c>
      <c r="H36">
        <v>927</v>
      </c>
      <c r="I36" t="s">
        <v>221</v>
      </c>
      <c r="AU36"/>
    </row>
    <row r="37" spans="1:47" x14ac:dyDescent="0.25">
      <c r="A37" s="1">
        <v>45724</v>
      </c>
      <c r="B37" s="1">
        <v>45720</v>
      </c>
      <c r="C37" t="s">
        <v>220</v>
      </c>
      <c r="D37" t="s">
        <v>437</v>
      </c>
      <c r="E37">
        <v>1</v>
      </c>
      <c r="F37">
        <v>2727</v>
      </c>
      <c r="G37">
        <v>3818</v>
      </c>
      <c r="H37">
        <v>927</v>
      </c>
      <c r="I37" t="s">
        <v>221</v>
      </c>
      <c r="AU37"/>
    </row>
    <row r="38" spans="1:47" x14ac:dyDescent="0.25">
      <c r="A38" s="1">
        <v>45717</v>
      </c>
      <c r="B38" s="1">
        <v>45712</v>
      </c>
      <c r="C38" t="s">
        <v>147</v>
      </c>
      <c r="D38" t="s">
        <v>439</v>
      </c>
      <c r="E38">
        <v>1</v>
      </c>
      <c r="F38">
        <v>1589</v>
      </c>
      <c r="G38">
        <v>3830</v>
      </c>
      <c r="H38">
        <v>374</v>
      </c>
      <c r="I38" t="s">
        <v>148</v>
      </c>
      <c r="AU38"/>
    </row>
    <row r="39" spans="1:47" x14ac:dyDescent="0.25">
      <c r="A39" s="1">
        <v>45717</v>
      </c>
      <c r="B39" s="1">
        <v>45712</v>
      </c>
      <c r="C39" t="s">
        <v>147</v>
      </c>
      <c r="D39" t="s">
        <v>439</v>
      </c>
      <c r="E39">
        <v>1</v>
      </c>
      <c r="F39">
        <v>1589</v>
      </c>
      <c r="G39">
        <v>3830</v>
      </c>
      <c r="H39">
        <v>374</v>
      </c>
      <c r="I39" t="s">
        <v>148</v>
      </c>
      <c r="AU39"/>
    </row>
    <row r="40" spans="1:47" x14ac:dyDescent="0.25">
      <c r="A40" s="1">
        <v>45717</v>
      </c>
      <c r="B40" s="1">
        <v>45713</v>
      </c>
      <c r="C40" t="s">
        <v>147</v>
      </c>
      <c r="D40" t="s">
        <v>439</v>
      </c>
      <c r="E40">
        <v>1</v>
      </c>
      <c r="F40">
        <v>2111</v>
      </c>
      <c r="G40">
        <v>3830</v>
      </c>
      <c r="H40">
        <v>374.11</v>
      </c>
      <c r="I40" t="s">
        <v>148</v>
      </c>
      <c r="AU40"/>
    </row>
    <row r="41" spans="1:47" x14ac:dyDescent="0.25">
      <c r="A41" s="1">
        <v>45717</v>
      </c>
      <c r="B41" s="1">
        <v>45713</v>
      </c>
      <c r="C41" t="s">
        <v>147</v>
      </c>
      <c r="D41" t="s">
        <v>439</v>
      </c>
      <c r="E41">
        <v>1</v>
      </c>
      <c r="F41">
        <v>2111</v>
      </c>
      <c r="G41">
        <v>3830</v>
      </c>
      <c r="H41">
        <v>374.11</v>
      </c>
      <c r="I41" t="s">
        <v>148</v>
      </c>
      <c r="AU41"/>
    </row>
    <row r="42" spans="1:47" x14ac:dyDescent="0.25">
      <c r="A42" s="1">
        <v>45724</v>
      </c>
      <c r="B42" s="1">
        <v>45719</v>
      </c>
      <c r="C42" t="s">
        <v>147</v>
      </c>
      <c r="D42" t="s">
        <v>439</v>
      </c>
      <c r="E42">
        <v>1</v>
      </c>
      <c r="F42">
        <v>3210</v>
      </c>
      <c r="G42">
        <v>3818</v>
      </c>
      <c r="H42">
        <v>374.11</v>
      </c>
      <c r="I42" t="s">
        <v>148</v>
      </c>
      <c r="AU42"/>
    </row>
    <row r="43" spans="1:47" x14ac:dyDescent="0.25">
      <c r="A43" s="1">
        <v>45724</v>
      </c>
      <c r="B43" s="1">
        <v>45719</v>
      </c>
      <c r="C43" t="s">
        <v>147</v>
      </c>
      <c r="D43" t="s">
        <v>439</v>
      </c>
      <c r="E43">
        <v>1</v>
      </c>
      <c r="F43">
        <v>3210</v>
      </c>
      <c r="G43">
        <v>3818</v>
      </c>
      <c r="H43">
        <v>374.11</v>
      </c>
      <c r="I43" t="s">
        <v>148</v>
      </c>
      <c r="AU43"/>
    </row>
    <row r="44" spans="1:47" x14ac:dyDescent="0.25">
      <c r="A44" s="1">
        <v>45724</v>
      </c>
      <c r="B44" s="1">
        <v>45720</v>
      </c>
      <c r="C44" t="s">
        <v>147</v>
      </c>
      <c r="D44" t="s">
        <v>439</v>
      </c>
      <c r="E44">
        <v>1</v>
      </c>
      <c r="F44">
        <v>2265</v>
      </c>
      <c r="G44">
        <v>3818</v>
      </c>
      <c r="H44">
        <v>374.11</v>
      </c>
      <c r="I44" t="s">
        <v>148</v>
      </c>
      <c r="AU44"/>
    </row>
    <row r="45" spans="1:47" x14ac:dyDescent="0.25">
      <c r="A45" s="1">
        <v>45724</v>
      </c>
      <c r="B45" s="1">
        <v>45720</v>
      </c>
      <c r="C45" t="s">
        <v>147</v>
      </c>
      <c r="D45" t="s">
        <v>439</v>
      </c>
      <c r="E45">
        <v>1</v>
      </c>
      <c r="F45">
        <v>2265</v>
      </c>
      <c r="G45">
        <v>3818</v>
      </c>
      <c r="H45">
        <v>374.11</v>
      </c>
      <c r="I45" t="s">
        <v>148</v>
      </c>
      <c r="AU45"/>
    </row>
    <row r="46" spans="1:47" x14ac:dyDescent="0.25">
      <c r="A46" s="1">
        <v>45717</v>
      </c>
      <c r="B46" s="1">
        <v>45712</v>
      </c>
      <c r="C46" t="s">
        <v>164</v>
      </c>
      <c r="D46" t="s">
        <v>437</v>
      </c>
      <c r="E46">
        <v>1</v>
      </c>
      <c r="F46">
        <v>3140</v>
      </c>
      <c r="G46">
        <v>3830</v>
      </c>
      <c r="H46">
        <v>2711.85</v>
      </c>
      <c r="I46" t="s">
        <v>165</v>
      </c>
      <c r="AU46"/>
    </row>
    <row r="47" spans="1:47" x14ac:dyDescent="0.25">
      <c r="A47" s="1">
        <v>45717</v>
      </c>
      <c r="B47" s="1">
        <v>45713</v>
      </c>
      <c r="C47" t="s">
        <v>164</v>
      </c>
      <c r="D47" t="s">
        <v>437</v>
      </c>
      <c r="E47">
        <v>1</v>
      </c>
      <c r="F47">
        <v>2509</v>
      </c>
      <c r="G47">
        <v>3818</v>
      </c>
      <c r="H47">
        <v>2711.85</v>
      </c>
      <c r="I47" t="s">
        <v>165</v>
      </c>
      <c r="AU47"/>
    </row>
    <row r="48" spans="1:47" x14ac:dyDescent="0.25">
      <c r="A48" s="1">
        <v>45724</v>
      </c>
      <c r="B48" s="1">
        <v>45719</v>
      </c>
      <c r="C48" t="s">
        <v>164</v>
      </c>
      <c r="D48" t="s">
        <v>437</v>
      </c>
      <c r="E48">
        <v>1</v>
      </c>
      <c r="F48">
        <v>3507</v>
      </c>
      <c r="G48">
        <v>3830</v>
      </c>
      <c r="H48">
        <v>2711.85</v>
      </c>
      <c r="I48" t="s">
        <v>165</v>
      </c>
      <c r="AU48"/>
    </row>
    <row r="49" spans="1:47" x14ac:dyDescent="0.25">
      <c r="A49" s="1">
        <v>45724</v>
      </c>
      <c r="B49" s="1">
        <v>45720</v>
      </c>
      <c r="C49" t="s">
        <v>164</v>
      </c>
      <c r="D49" t="s">
        <v>437</v>
      </c>
      <c r="E49">
        <v>1</v>
      </c>
      <c r="F49">
        <v>2543</v>
      </c>
      <c r="G49">
        <v>3818</v>
      </c>
      <c r="H49">
        <v>2711.85</v>
      </c>
      <c r="I49" t="s">
        <v>165</v>
      </c>
      <c r="AU49"/>
    </row>
    <row r="50" spans="1:47" x14ac:dyDescent="0.25">
      <c r="A50" s="1">
        <v>45717</v>
      </c>
      <c r="B50" s="1">
        <v>45712</v>
      </c>
      <c r="C50" t="s">
        <v>208</v>
      </c>
      <c r="D50" t="s">
        <v>439</v>
      </c>
      <c r="E50">
        <v>1</v>
      </c>
      <c r="F50">
        <v>1314</v>
      </c>
      <c r="G50">
        <v>2863</v>
      </c>
      <c r="H50">
        <v>184.37</v>
      </c>
      <c r="I50" t="s">
        <v>209</v>
      </c>
      <c r="AU50"/>
    </row>
    <row r="51" spans="1:47" x14ac:dyDescent="0.25">
      <c r="A51" s="1">
        <v>45717</v>
      </c>
      <c r="B51" s="1">
        <v>45715</v>
      </c>
      <c r="C51" t="s">
        <v>208</v>
      </c>
      <c r="D51" t="s">
        <v>439</v>
      </c>
      <c r="E51">
        <v>1</v>
      </c>
      <c r="F51">
        <v>2079</v>
      </c>
      <c r="G51">
        <v>3450</v>
      </c>
      <c r="H51">
        <v>184.37</v>
      </c>
      <c r="I51" t="s">
        <v>209</v>
      </c>
      <c r="AU51"/>
    </row>
    <row r="52" spans="1:47" x14ac:dyDescent="0.25">
      <c r="A52" s="1">
        <v>45717</v>
      </c>
      <c r="B52" s="1">
        <v>45716</v>
      </c>
      <c r="C52" t="s">
        <v>208</v>
      </c>
      <c r="D52" t="s">
        <v>439</v>
      </c>
      <c r="E52">
        <v>1</v>
      </c>
      <c r="F52">
        <v>2627</v>
      </c>
      <c r="G52">
        <v>3450</v>
      </c>
      <c r="H52">
        <v>184.37</v>
      </c>
      <c r="I52" t="s">
        <v>209</v>
      </c>
      <c r="AU52"/>
    </row>
    <row r="53" spans="1:47" x14ac:dyDescent="0.25">
      <c r="A53" s="1">
        <v>45724</v>
      </c>
      <c r="B53" s="1">
        <v>45719</v>
      </c>
      <c r="C53" t="s">
        <v>208</v>
      </c>
      <c r="D53" t="s">
        <v>439</v>
      </c>
      <c r="E53">
        <v>1</v>
      </c>
      <c r="F53">
        <v>1170</v>
      </c>
      <c r="G53">
        <v>3230</v>
      </c>
      <c r="H53">
        <v>184.37</v>
      </c>
      <c r="I53" t="s">
        <v>209</v>
      </c>
      <c r="AU53"/>
    </row>
    <row r="54" spans="1:47" x14ac:dyDescent="0.25">
      <c r="A54" s="1">
        <v>45724</v>
      </c>
      <c r="B54" s="1">
        <v>45720</v>
      </c>
      <c r="C54" t="s">
        <v>208</v>
      </c>
      <c r="D54" t="s">
        <v>439</v>
      </c>
      <c r="E54">
        <v>1</v>
      </c>
      <c r="F54">
        <v>1888</v>
      </c>
      <c r="G54">
        <v>2863</v>
      </c>
      <c r="H54">
        <v>184.37</v>
      </c>
      <c r="I54" t="s">
        <v>209</v>
      </c>
      <c r="AU54"/>
    </row>
    <row r="55" spans="1:47" x14ac:dyDescent="0.25">
      <c r="A55" s="1">
        <v>45724</v>
      </c>
      <c r="B55" s="1">
        <v>45721</v>
      </c>
      <c r="C55" t="s">
        <v>208</v>
      </c>
      <c r="D55" t="s">
        <v>439</v>
      </c>
      <c r="E55">
        <v>1</v>
      </c>
      <c r="F55">
        <v>1118</v>
      </c>
      <c r="G55">
        <v>3230</v>
      </c>
      <c r="H55">
        <v>184.37</v>
      </c>
      <c r="I55" t="s">
        <v>209</v>
      </c>
      <c r="AU55"/>
    </row>
    <row r="56" spans="1:47" x14ac:dyDescent="0.25">
      <c r="A56" s="1">
        <v>45717</v>
      </c>
      <c r="B56" s="1">
        <v>45712</v>
      </c>
      <c r="C56" t="s">
        <v>71</v>
      </c>
      <c r="D56" t="s">
        <v>437</v>
      </c>
      <c r="E56">
        <v>1</v>
      </c>
      <c r="F56">
        <v>2043</v>
      </c>
      <c r="G56">
        <v>3830</v>
      </c>
      <c r="H56">
        <v>204</v>
      </c>
      <c r="I56" t="s">
        <v>72</v>
      </c>
      <c r="AU56"/>
    </row>
    <row r="57" spans="1:47" x14ac:dyDescent="0.25">
      <c r="A57" s="1">
        <v>45717</v>
      </c>
      <c r="B57" s="1">
        <v>45713</v>
      </c>
      <c r="C57" t="s">
        <v>71</v>
      </c>
      <c r="D57" t="s">
        <v>437</v>
      </c>
      <c r="E57">
        <v>1</v>
      </c>
      <c r="F57">
        <v>3177</v>
      </c>
      <c r="G57">
        <v>3818</v>
      </c>
      <c r="H57">
        <v>204</v>
      </c>
      <c r="I57" t="s">
        <v>72</v>
      </c>
      <c r="AU57"/>
    </row>
    <row r="58" spans="1:47" x14ac:dyDescent="0.25">
      <c r="A58" s="1">
        <v>45717</v>
      </c>
      <c r="B58" s="1">
        <v>45714</v>
      </c>
      <c r="C58" t="s">
        <v>71</v>
      </c>
      <c r="D58" t="s">
        <v>437</v>
      </c>
      <c r="E58">
        <v>2</v>
      </c>
      <c r="F58">
        <v>4496</v>
      </c>
      <c r="G58">
        <v>7636</v>
      </c>
      <c r="H58">
        <v>408</v>
      </c>
      <c r="I58" t="s">
        <v>72</v>
      </c>
      <c r="AU58"/>
    </row>
    <row r="59" spans="1:47" x14ac:dyDescent="0.25">
      <c r="A59" s="1">
        <v>45717</v>
      </c>
      <c r="B59" s="1">
        <v>45715</v>
      </c>
      <c r="C59" t="s">
        <v>71</v>
      </c>
      <c r="D59" t="s">
        <v>437</v>
      </c>
      <c r="E59">
        <v>2</v>
      </c>
      <c r="F59">
        <v>5128</v>
      </c>
      <c r="G59">
        <v>7660</v>
      </c>
      <c r="H59">
        <v>408</v>
      </c>
      <c r="I59" t="s">
        <v>72</v>
      </c>
      <c r="AU59"/>
    </row>
    <row r="60" spans="1:47" x14ac:dyDescent="0.25">
      <c r="A60" s="1">
        <v>45717</v>
      </c>
      <c r="B60" s="1">
        <v>45716</v>
      </c>
      <c r="C60" t="s">
        <v>71</v>
      </c>
      <c r="D60" t="s">
        <v>437</v>
      </c>
      <c r="E60">
        <v>1</v>
      </c>
      <c r="F60">
        <v>1774</v>
      </c>
      <c r="G60">
        <v>3830</v>
      </c>
      <c r="H60">
        <v>204</v>
      </c>
      <c r="I60" t="s">
        <v>72</v>
      </c>
      <c r="AU60"/>
    </row>
    <row r="61" spans="1:47" x14ac:dyDescent="0.25">
      <c r="A61" s="1">
        <v>45724</v>
      </c>
      <c r="B61" s="1">
        <v>45719</v>
      </c>
      <c r="C61" t="s">
        <v>71</v>
      </c>
      <c r="D61" t="s">
        <v>437</v>
      </c>
      <c r="E61">
        <v>1</v>
      </c>
      <c r="F61">
        <v>2086</v>
      </c>
      <c r="G61">
        <v>3830</v>
      </c>
      <c r="H61">
        <v>204</v>
      </c>
      <c r="I61" t="s">
        <v>72</v>
      </c>
      <c r="AU61"/>
    </row>
    <row r="62" spans="1:47" x14ac:dyDescent="0.25">
      <c r="A62" s="1">
        <v>45724</v>
      </c>
      <c r="B62" s="1">
        <v>45720</v>
      </c>
      <c r="C62" t="s">
        <v>71</v>
      </c>
      <c r="D62" t="s">
        <v>437</v>
      </c>
      <c r="E62">
        <v>2</v>
      </c>
      <c r="F62">
        <v>4922</v>
      </c>
      <c r="G62">
        <v>7636</v>
      </c>
      <c r="H62">
        <v>408</v>
      </c>
      <c r="I62" t="s">
        <v>72</v>
      </c>
      <c r="AU62"/>
    </row>
    <row r="63" spans="1:47" x14ac:dyDescent="0.25">
      <c r="A63" s="1">
        <v>45724</v>
      </c>
      <c r="B63" s="1">
        <v>45721</v>
      </c>
      <c r="C63" t="s">
        <v>71</v>
      </c>
      <c r="D63" t="s">
        <v>437</v>
      </c>
      <c r="E63">
        <v>1</v>
      </c>
      <c r="F63">
        <v>1638</v>
      </c>
      <c r="G63">
        <v>3830</v>
      </c>
      <c r="H63">
        <v>204</v>
      </c>
      <c r="I63" t="s">
        <v>72</v>
      </c>
      <c r="AU63"/>
    </row>
    <row r="64" spans="1:47" x14ac:dyDescent="0.25">
      <c r="A64" s="1">
        <v>45717</v>
      </c>
      <c r="B64" s="1">
        <v>45712</v>
      </c>
      <c r="C64" t="s">
        <v>89</v>
      </c>
      <c r="D64" t="s">
        <v>439</v>
      </c>
      <c r="E64">
        <v>1</v>
      </c>
      <c r="F64">
        <v>1584</v>
      </c>
      <c r="G64">
        <v>3230</v>
      </c>
      <c r="H64">
        <v>180.79</v>
      </c>
      <c r="I64" t="s">
        <v>90</v>
      </c>
      <c r="AU64"/>
    </row>
    <row r="65" spans="1:47" x14ac:dyDescent="0.25">
      <c r="A65" s="1">
        <v>45724</v>
      </c>
      <c r="B65" s="1">
        <v>45719</v>
      </c>
      <c r="C65" t="s">
        <v>89</v>
      </c>
      <c r="D65" t="s">
        <v>439</v>
      </c>
      <c r="E65">
        <v>1</v>
      </c>
      <c r="F65">
        <v>1301</v>
      </c>
      <c r="G65">
        <v>3830</v>
      </c>
      <c r="H65">
        <v>180.79</v>
      </c>
      <c r="I65" t="s">
        <v>90</v>
      </c>
      <c r="AU65"/>
    </row>
    <row r="66" spans="1:47" x14ac:dyDescent="0.25">
      <c r="A66" s="1">
        <v>45717</v>
      </c>
      <c r="B66" s="1">
        <v>45712</v>
      </c>
      <c r="C66" t="s">
        <v>138</v>
      </c>
      <c r="D66" t="s">
        <v>437</v>
      </c>
      <c r="E66">
        <v>2</v>
      </c>
      <c r="F66">
        <v>4626</v>
      </c>
      <c r="G66">
        <v>7660</v>
      </c>
      <c r="H66">
        <v>365</v>
      </c>
      <c r="I66" t="s">
        <v>140</v>
      </c>
      <c r="AU66"/>
    </row>
    <row r="67" spans="1:47" x14ac:dyDescent="0.25">
      <c r="A67" s="1">
        <v>45717</v>
      </c>
      <c r="B67" s="1">
        <v>45713</v>
      </c>
      <c r="C67" t="s">
        <v>138</v>
      </c>
      <c r="D67" t="s">
        <v>437</v>
      </c>
      <c r="E67">
        <v>1</v>
      </c>
      <c r="F67">
        <v>2483</v>
      </c>
      <c r="G67">
        <v>3818</v>
      </c>
      <c r="H67">
        <v>183</v>
      </c>
      <c r="I67" t="s">
        <v>140</v>
      </c>
      <c r="AU67"/>
    </row>
    <row r="68" spans="1:47" x14ac:dyDescent="0.25">
      <c r="A68" s="1">
        <v>45717</v>
      </c>
      <c r="B68" s="1">
        <v>45714</v>
      </c>
      <c r="C68" t="s">
        <v>138</v>
      </c>
      <c r="D68" t="s">
        <v>437</v>
      </c>
      <c r="E68">
        <v>1</v>
      </c>
      <c r="F68">
        <v>729</v>
      </c>
      <c r="G68">
        <v>3830</v>
      </c>
      <c r="H68">
        <v>182.58</v>
      </c>
      <c r="I68" t="s">
        <v>140</v>
      </c>
      <c r="AU68"/>
    </row>
    <row r="69" spans="1:47" x14ac:dyDescent="0.25">
      <c r="A69" s="1">
        <v>45717</v>
      </c>
      <c r="B69" s="1">
        <v>45715</v>
      </c>
      <c r="C69" t="s">
        <v>138</v>
      </c>
      <c r="D69" t="s">
        <v>437</v>
      </c>
      <c r="E69">
        <v>1</v>
      </c>
      <c r="F69">
        <v>790</v>
      </c>
      <c r="G69">
        <v>3830</v>
      </c>
      <c r="H69">
        <v>182.58</v>
      </c>
      <c r="I69" t="s">
        <v>140</v>
      </c>
      <c r="AU69"/>
    </row>
    <row r="70" spans="1:47" x14ac:dyDescent="0.25">
      <c r="A70" s="1">
        <v>45717</v>
      </c>
      <c r="B70" s="1">
        <v>45716</v>
      </c>
      <c r="C70" t="s">
        <v>138</v>
      </c>
      <c r="D70" t="s">
        <v>437</v>
      </c>
      <c r="E70">
        <v>1</v>
      </c>
      <c r="F70">
        <v>2605</v>
      </c>
      <c r="G70">
        <v>3830</v>
      </c>
      <c r="H70">
        <v>182.58</v>
      </c>
      <c r="I70" t="s">
        <v>140</v>
      </c>
      <c r="AU70"/>
    </row>
    <row r="71" spans="1:47" x14ac:dyDescent="0.25">
      <c r="A71" s="1">
        <v>45724</v>
      </c>
      <c r="B71" s="1">
        <v>45719</v>
      </c>
      <c r="C71" t="s">
        <v>138</v>
      </c>
      <c r="D71" t="s">
        <v>437</v>
      </c>
      <c r="E71">
        <v>2</v>
      </c>
      <c r="F71">
        <v>5916</v>
      </c>
      <c r="G71">
        <v>7660</v>
      </c>
      <c r="H71">
        <v>365.16</v>
      </c>
      <c r="I71" t="s">
        <v>140</v>
      </c>
      <c r="AU71"/>
    </row>
    <row r="72" spans="1:47" x14ac:dyDescent="0.25">
      <c r="A72" s="1">
        <v>45724</v>
      </c>
      <c r="B72" s="1">
        <v>45720</v>
      </c>
      <c r="C72" t="s">
        <v>138</v>
      </c>
      <c r="D72" t="s">
        <v>437</v>
      </c>
      <c r="E72">
        <v>2</v>
      </c>
      <c r="F72">
        <v>2941</v>
      </c>
      <c r="G72">
        <v>7648</v>
      </c>
      <c r="H72">
        <v>365</v>
      </c>
      <c r="I72" t="s">
        <v>140</v>
      </c>
      <c r="AU72"/>
    </row>
    <row r="73" spans="1:47" x14ac:dyDescent="0.25">
      <c r="A73" s="1">
        <v>45717</v>
      </c>
      <c r="B73" s="1">
        <v>45712</v>
      </c>
      <c r="C73" t="s">
        <v>94</v>
      </c>
      <c r="D73" t="s">
        <v>439</v>
      </c>
      <c r="E73">
        <v>1</v>
      </c>
      <c r="F73">
        <v>1914</v>
      </c>
      <c r="G73">
        <v>3818</v>
      </c>
      <c r="H73">
        <v>332.94</v>
      </c>
      <c r="I73" t="s">
        <v>95</v>
      </c>
      <c r="AU73"/>
    </row>
    <row r="74" spans="1:47" x14ac:dyDescent="0.25">
      <c r="A74" s="1">
        <v>45717</v>
      </c>
      <c r="B74" s="1">
        <v>45713</v>
      </c>
      <c r="C74" t="s">
        <v>94</v>
      </c>
      <c r="D74" t="s">
        <v>439</v>
      </c>
      <c r="E74">
        <v>1</v>
      </c>
      <c r="F74">
        <v>2354</v>
      </c>
      <c r="G74">
        <v>3813</v>
      </c>
      <c r="H74">
        <v>332.94</v>
      </c>
      <c r="I74" t="s">
        <v>95</v>
      </c>
      <c r="AU74"/>
    </row>
    <row r="75" spans="1:47" x14ac:dyDescent="0.25">
      <c r="A75" s="1">
        <v>45717</v>
      </c>
      <c r="B75" s="1">
        <v>45714</v>
      </c>
      <c r="C75" t="s">
        <v>94</v>
      </c>
      <c r="D75" t="s">
        <v>439</v>
      </c>
      <c r="E75">
        <v>2</v>
      </c>
      <c r="F75">
        <v>5719</v>
      </c>
      <c r="G75">
        <v>7648</v>
      </c>
      <c r="H75">
        <v>666</v>
      </c>
      <c r="I75" t="s">
        <v>95</v>
      </c>
      <c r="AU75"/>
    </row>
    <row r="76" spans="1:47" x14ac:dyDescent="0.25">
      <c r="A76" s="1">
        <v>45717</v>
      </c>
      <c r="B76" s="1">
        <v>45715</v>
      </c>
      <c r="C76" t="s">
        <v>94</v>
      </c>
      <c r="D76" t="s">
        <v>439</v>
      </c>
      <c r="E76">
        <v>1</v>
      </c>
      <c r="F76">
        <v>3129</v>
      </c>
      <c r="G76">
        <v>3818</v>
      </c>
      <c r="H76">
        <v>332.94</v>
      </c>
      <c r="I76" t="s">
        <v>95</v>
      </c>
      <c r="AU76"/>
    </row>
    <row r="77" spans="1:47" x14ac:dyDescent="0.25">
      <c r="A77" s="1">
        <v>45717</v>
      </c>
      <c r="B77" s="1">
        <v>45716</v>
      </c>
      <c r="C77" t="s">
        <v>94</v>
      </c>
      <c r="D77" t="s">
        <v>439</v>
      </c>
      <c r="E77">
        <v>3</v>
      </c>
      <c r="F77">
        <v>4994</v>
      </c>
      <c r="G77">
        <v>7782</v>
      </c>
      <c r="H77">
        <v>665.88</v>
      </c>
      <c r="I77" t="s">
        <v>95</v>
      </c>
      <c r="AU77"/>
    </row>
    <row r="78" spans="1:47" x14ac:dyDescent="0.25">
      <c r="A78" s="1">
        <v>45724</v>
      </c>
      <c r="B78" s="1">
        <v>45719</v>
      </c>
      <c r="C78" t="s">
        <v>94</v>
      </c>
      <c r="D78" t="s">
        <v>439</v>
      </c>
      <c r="E78">
        <v>2</v>
      </c>
      <c r="F78">
        <v>3838</v>
      </c>
      <c r="G78">
        <v>7648</v>
      </c>
      <c r="H78">
        <v>665.88</v>
      </c>
      <c r="I78" t="s">
        <v>95</v>
      </c>
      <c r="AU78"/>
    </row>
    <row r="79" spans="1:47" x14ac:dyDescent="0.25">
      <c r="A79" s="1">
        <v>45724</v>
      </c>
      <c r="B79" s="1">
        <v>45720</v>
      </c>
      <c r="C79" t="s">
        <v>94</v>
      </c>
      <c r="D79" t="s">
        <v>439</v>
      </c>
      <c r="E79">
        <v>1</v>
      </c>
      <c r="F79">
        <v>3004</v>
      </c>
      <c r="G79">
        <v>3830</v>
      </c>
      <c r="H79">
        <v>332.94</v>
      </c>
      <c r="I79" t="s">
        <v>95</v>
      </c>
      <c r="AU79"/>
    </row>
    <row r="80" spans="1:47" x14ac:dyDescent="0.25">
      <c r="A80" s="1">
        <v>45724</v>
      </c>
      <c r="B80" s="1">
        <v>45721</v>
      </c>
      <c r="C80" t="s">
        <v>94</v>
      </c>
      <c r="D80" t="s">
        <v>439</v>
      </c>
      <c r="E80">
        <v>2</v>
      </c>
      <c r="F80">
        <v>3072</v>
      </c>
      <c r="G80">
        <v>5800</v>
      </c>
      <c r="H80">
        <v>499.41</v>
      </c>
      <c r="I80" t="s">
        <v>95</v>
      </c>
      <c r="AU80"/>
    </row>
    <row r="81" spans="1:47" x14ac:dyDescent="0.25">
      <c r="A81" s="1">
        <v>45717</v>
      </c>
      <c r="B81" s="1">
        <v>45712</v>
      </c>
      <c r="C81" t="s">
        <v>141</v>
      </c>
      <c r="D81" t="s">
        <v>438</v>
      </c>
      <c r="E81">
        <v>2</v>
      </c>
      <c r="F81">
        <v>6060</v>
      </c>
      <c r="G81">
        <v>7648</v>
      </c>
      <c r="H81">
        <v>365.16</v>
      </c>
      <c r="I81" t="s">
        <v>142</v>
      </c>
      <c r="AU81"/>
    </row>
    <row r="82" spans="1:47" x14ac:dyDescent="0.25">
      <c r="A82" s="1">
        <v>45717</v>
      </c>
      <c r="B82" s="1">
        <v>45712</v>
      </c>
      <c r="C82" t="s">
        <v>141</v>
      </c>
      <c r="D82" t="s">
        <v>438</v>
      </c>
      <c r="E82">
        <v>2</v>
      </c>
      <c r="F82">
        <v>6060</v>
      </c>
      <c r="G82">
        <v>7648</v>
      </c>
      <c r="H82">
        <v>365.16</v>
      </c>
      <c r="I82" t="s">
        <v>142</v>
      </c>
      <c r="AU82"/>
    </row>
    <row r="83" spans="1:47" x14ac:dyDescent="0.25">
      <c r="A83" s="1">
        <v>45717</v>
      </c>
      <c r="B83" s="1">
        <v>45713</v>
      </c>
      <c r="C83" t="s">
        <v>141</v>
      </c>
      <c r="D83" t="s">
        <v>438</v>
      </c>
      <c r="E83">
        <v>1</v>
      </c>
      <c r="F83">
        <v>2941</v>
      </c>
      <c r="G83">
        <v>3830</v>
      </c>
      <c r="H83">
        <v>182.58</v>
      </c>
      <c r="I83" t="s">
        <v>142</v>
      </c>
      <c r="AU83"/>
    </row>
    <row r="84" spans="1:47" x14ac:dyDescent="0.25">
      <c r="A84" s="1">
        <v>45717</v>
      </c>
      <c r="B84" s="1">
        <v>45713</v>
      </c>
      <c r="C84" t="s">
        <v>141</v>
      </c>
      <c r="D84" t="s">
        <v>438</v>
      </c>
      <c r="E84">
        <v>1</v>
      </c>
      <c r="F84">
        <v>2941</v>
      </c>
      <c r="G84">
        <v>3830</v>
      </c>
      <c r="H84">
        <v>182.58</v>
      </c>
      <c r="I84" t="s">
        <v>142</v>
      </c>
      <c r="AU84"/>
    </row>
    <row r="85" spans="1:47" x14ac:dyDescent="0.25">
      <c r="A85" s="1">
        <v>45717</v>
      </c>
      <c r="B85" s="1">
        <v>45714</v>
      </c>
      <c r="C85" t="s">
        <v>141</v>
      </c>
      <c r="D85" t="s">
        <v>438</v>
      </c>
      <c r="E85">
        <v>2</v>
      </c>
      <c r="F85">
        <v>5540</v>
      </c>
      <c r="G85">
        <v>7048</v>
      </c>
      <c r="H85">
        <v>365.16</v>
      </c>
      <c r="I85" t="s">
        <v>142</v>
      </c>
      <c r="AU85"/>
    </row>
    <row r="86" spans="1:47" x14ac:dyDescent="0.25">
      <c r="A86" s="1">
        <v>45717</v>
      </c>
      <c r="B86" s="1">
        <v>45714</v>
      </c>
      <c r="C86" t="s">
        <v>141</v>
      </c>
      <c r="D86" t="s">
        <v>438</v>
      </c>
      <c r="E86">
        <v>2</v>
      </c>
      <c r="F86">
        <v>5540</v>
      </c>
      <c r="G86">
        <v>7048</v>
      </c>
      <c r="H86">
        <v>365.16</v>
      </c>
      <c r="I86" t="s">
        <v>142</v>
      </c>
      <c r="AU86"/>
    </row>
    <row r="87" spans="1:47" x14ac:dyDescent="0.25">
      <c r="A87" s="1">
        <v>45717</v>
      </c>
      <c r="B87" s="1">
        <v>45715</v>
      </c>
      <c r="C87" t="s">
        <v>141</v>
      </c>
      <c r="D87" t="s">
        <v>438</v>
      </c>
      <c r="E87">
        <v>1</v>
      </c>
      <c r="F87">
        <v>2896</v>
      </c>
      <c r="G87">
        <v>3830</v>
      </c>
      <c r="H87">
        <v>183</v>
      </c>
      <c r="I87" t="s">
        <v>142</v>
      </c>
      <c r="AU87"/>
    </row>
    <row r="88" spans="1:47" x14ac:dyDescent="0.25">
      <c r="A88" s="1">
        <v>45717</v>
      </c>
      <c r="B88" s="1">
        <v>45715</v>
      </c>
      <c r="C88" t="s">
        <v>141</v>
      </c>
      <c r="D88" t="s">
        <v>438</v>
      </c>
      <c r="E88">
        <v>1</v>
      </c>
      <c r="F88">
        <v>2896</v>
      </c>
      <c r="G88">
        <v>3830</v>
      </c>
      <c r="H88">
        <v>183</v>
      </c>
      <c r="I88" t="s">
        <v>142</v>
      </c>
      <c r="AU88"/>
    </row>
    <row r="89" spans="1:47" x14ac:dyDescent="0.25">
      <c r="A89" s="1">
        <v>45717</v>
      </c>
      <c r="B89" s="1">
        <v>45716</v>
      </c>
      <c r="C89" t="s">
        <v>141</v>
      </c>
      <c r="D89" t="s">
        <v>438</v>
      </c>
      <c r="E89">
        <v>2</v>
      </c>
      <c r="F89">
        <v>5581</v>
      </c>
      <c r="G89">
        <v>7660</v>
      </c>
      <c r="H89">
        <v>365.16</v>
      </c>
      <c r="I89" t="s">
        <v>142</v>
      </c>
      <c r="AU89"/>
    </row>
    <row r="90" spans="1:47" x14ac:dyDescent="0.25">
      <c r="A90" s="1">
        <v>45717</v>
      </c>
      <c r="B90" s="1">
        <v>45716</v>
      </c>
      <c r="C90" t="s">
        <v>141</v>
      </c>
      <c r="D90" t="s">
        <v>438</v>
      </c>
      <c r="E90">
        <v>2</v>
      </c>
      <c r="F90">
        <v>5581</v>
      </c>
      <c r="G90">
        <v>7660</v>
      </c>
      <c r="H90">
        <v>365.16</v>
      </c>
      <c r="I90" t="s">
        <v>142</v>
      </c>
      <c r="AU90"/>
    </row>
    <row r="91" spans="1:47" x14ac:dyDescent="0.25">
      <c r="A91" s="1">
        <v>45724</v>
      </c>
      <c r="B91" s="1">
        <v>45719</v>
      </c>
      <c r="C91" t="s">
        <v>141</v>
      </c>
      <c r="D91" t="s">
        <v>438</v>
      </c>
      <c r="E91">
        <v>2</v>
      </c>
      <c r="F91">
        <v>5940</v>
      </c>
      <c r="G91">
        <v>7648</v>
      </c>
      <c r="H91">
        <v>365.16</v>
      </c>
      <c r="I91" t="s">
        <v>142</v>
      </c>
      <c r="AU91"/>
    </row>
    <row r="92" spans="1:47" x14ac:dyDescent="0.25">
      <c r="A92" s="1">
        <v>45724</v>
      </c>
      <c r="B92" s="1">
        <v>45719</v>
      </c>
      <c r="C92" t="s">
        <v>141</v>
      </c>
      <c r="D92" t="s">
        <v>438</v>
      </c>
      <c r="E92">
        <v>2</v>
      </c>
      <c r="F92">
        <v>5940</v>
      </c>
      <c r="G92">
        <v>7648</v>
      </c>
      <c r="H92">
        <v>365.16</v>
      </c>
      <c r="I92" t="s">
        <v>142</v>
      </c>
      <c r="AU92"/>
    </row>
    <row r="93" spans="1:47" x14ac:dyDescent="0.25">
      <c r="A93" s="1">
        <v>45724</v>
      </c>
      <c r="B93" s="1">
        <v>45720</v>
      </c>
      <c r="C93" t="s">
        <v>141</v>
      </c>
      <c r="D93" t="s">
        <v>438</v>
      </c>
      <c r="E93">
        <v>2</v>
      </c>
      <c r="F93">
        <v>5771</v>
      </c>
      <c r="G93">
        <v>7648</v>
      </c>
      <c r="H93">
        <v>365</v>
      </c>
      <c r="I93" t="s">
        <v>142</v>
      </c>
      <c r="AU93"/>
    </row>
    <row r="94" spans="1:47" x14ac:dyDescent="0.25">
      <c r="A94" s="1">
        <v>45724</v>
      </c>
      <c r="B94" s="1">
        <v>45720</v>
      </c>
      <c r="C94" t="s">
        <v>141</v>
      </c>
      <c r="D94" t="s">
        <v>438</v>
      </c>
      <c r="E94">
        <v>2</v>
      </c>
      <c r="F94">
        <v>5771</v>
      </c>
      <c r="G94">
        <v>7648</v>
      </c>
      <c r="H94">
        <v>365</v>
      </c>
      <c r="I94" t="s">
        <v>142</v>
      </c>
      <c r="AU94"/>
    </row>
    <row r="95" spans="1:47" x14ac:dyDescent="0.25">
      <c r="A95" s="1">
        <v>45717</v>
      </c>
      <c r="B95" s="1">
        <v>45712</v>
      </c>
      <c r="C95" t="s">
        <v>96</v>
      </c>
      <c r="D95" t="s">
        <v>438</v>
      </c>
      <c r="E95">
        <v>1</v>
      </c>
      <c r="F95">
        <v>2401</v>
      </c>
      <c r="G95">
        <v>3830</v>
      </c>
      <c r="H95">
        <v>1264</v>
      </c>
      <c r="I95" t="s">
        <v>97</v>
      </c>
      <c r="AU95"/>
    </row>
    <row r="96" spans="1:47" x14ac:dyDescent="0.25">
      <c r="A96" s="1">
        <v>45724</v>
      </c>
      <c r="B96" s="1">
        <v>45719</v>
      </c>
      <c r="C96" t="s">
        <v>96</v>
      </c>
      <c r="D96" t="s">
        <v>438</v>
      </c>
      <c r="E96">
        <v>1</v>
      </c>
      <c r="F96">
        <v>2645</v>
      </c>
      <c r="G96">
        <v>3818</v>
      </c>
      <c r="H96">
        <v>1263.74</v>
      </c>
      <c r="I96" t="s">
        <v>97</v>
      </c>
      <c r="AU96"/>
    </row>
    <row r="97" spans="1:47" x14ac:dyDescent="0.25">
      <c r="A97" s="1">
        <v>45717</v>
      </c>
      <c r="B97" s="1">
        <v>45712</v>
      </c>
      <c r="C97" t="s">
        <v>283</v>
      </c>
      <c r="D97" t="s">
        <v>438</v>
      </c>
      <c r="E97">
        <v>1</v>
      </c>
      <c r="F97">
        <v>2663</v>
      </c>
      <c r="G97">
        <v>3830</v>
      </c>
      <c r="H97">
        <v>209.1</v>
      </c>
      <c r="I97" t="s">
        <v>284</v>
      </c>
      <c r="AU97"/>
    </row>
    <row r="98" spans="1:47" x14ac:dyDescent="0.25">
      <c r="A98" s="1">
        <v>45724</v>
      </c>
      <c r="B98" s="1">
        <v>45719</v>
      </c>
      <c r="C98" t="s">
        <v>283</v>
      </c>
      <c r="D98" t="s">
        <v>438</v>
      </c>
      <c r="E98">
        <v>1</v>
      </c>
      <c r="F98">
        <v>2644</v>
      </c>
      <c r="G98">
        <v>3830</v>
      </c>
      <c r="H98">
        <v>209.1</v>
      </c>
      <c r="I98" t="s">
        <v>284</v>
      </c>
      <c r="AU98"/>
    </row>
    <row r="99" spans="1:47" x14ac:dyDescent="0.25">
      <c r="A99" s="1">
        <v>45717</v>
      </c>
      <c r="B99" s="1">
        <v>45712</v>
      </c>
      <c r="C99" t="s">
        <v>145</v>
      </c>
      <c r="D99" t="s">
        <v>438</v>
      </c>
      <c r="E99">
        <v>1</v>
      </c>
      <c r="F99">
        <v>1146</v>
      </c>
      <c r="G99">
        <v>1982</v>
      </c>
      <c r="H99">
        <v>91.29</v>
      </c>
      <c r="I99" t="s">
        <v>146</v>
      </c>
      <c r="AU99"/>
    </row>
    <row r="100" spans="1:47" x14ac:dyDescent="0.25">
      <c r="A100" s="1">
        <v>45724</v>
      </c>
      <c r="B100" s="1">
        <v>45721</v>
      </c>
      <c r="C100" t="s">
        <v>145</v>
      </c>
      <c r="D100" t="s">
        <v>438</v>
      </c>
      <c r="E100">
        <v>1</v>
      </c>
      <c r="F100">
        <v>746</v>
      </c>
      <c r="G100">
        <v>1982</v>
      </c>
      <c r="H100">
        <v>91.29</v>
      </c>
      <c r="I100" t="s">
        <v>146</v>
      </c>
      <c r="AU100"/>
    </row>
    <row r="101" spans="1:47" x14ac:dyDescent="0.25">
      <c r="A101" s="1">
        <v>45717</v>
      </c>
      <c r="B101" s="1">
        <v>45712</v>
      </c>
      <c r="C101" t="s">
        <v>199</v>
      </c>
      <c r="D101" t="s">
        <v>439</v>
      </c>
      <c r="E101">
        <v>1</v>
      </c>
      <c r="F101">
        <v>1140</v>
      </c>
      <c r="G101">
        <v>1982</v>
      </c>
      <c r="H101">
        <v>109.65</v>
      </c>
      <c r="I101" t="s">
        <v>200</v>
      </c>
      <c r="AU101"/>
    </row>
    <row r="102" spans="1:47" x14ac:dyDescent="0.25">
      <c r="A102" s="1">
        <v>45717</v>
      </c>
      <c r="B102" s="1">
        <v>45716</v>
      </c>
      <c r="C102" t="s">
        <v>199</v>
      </c>
      <c r="D102" t="s">
        <v>439</v>
      </c>
      <c r="E102">
        <v>1</v>
      </c>
      <c r="F102">
        <v>555</v>
      </c>
      <c r="G102">
        <v>1982</v>
      </c>
      <c r="H102">
        <v>109.65</v>
      </c>
      <c r="I102" t="s">
        <v>200</v>
      </c>
      <c r="AU102"/>
    </row>
    <row r="103" spans="1:47" x14ac:dyDescent="0.25">
      <c r="A103" s="1">
        <v>45724</v>
      </c>
      <c r="B103" s="1">
        <v>45719</v>
      </c>
      <c r="C103" t="s">
        <v>199</v>
      </c>
      <c r="D103" t="s">
        <v>439</v>
      </c>
      <c r="E103">
        <v>1</v>
      </c>
      <c r="F103">
        <v>1225</v>
      </c>
      <c r="G103">
        <v>2863</v>
      </c>
      <c r="H103">
        <v>219.3</v>
      </c>
      <c r="I103" t="s">
        <v>200</v>
      </c>
      <c r="AU103"/>
    </row>
    <row r="104" spans="1:47" x14ac:dyDescent="0.25">
      <c r="A104" s="1">
        <v>45717</v>
      </c>
      <c r="B104" s="1">
        <v>45712</v>
      </c>
      <c r="C104" t="s">
        <v>247</v>
      </c>
      <c r="D104" t="s">
        <v>438</v>
      </c>
      <c r="E104">
        <v>1</v>
      </c>
      <c r="F104">
        <v>1150</v>
      </c>
      <c r="G104">
        <v>1982</v>
      </c>
      <c r="H104">
        <v>109.19</v>
      </c>
      <c r="I104" t="s">
        <v>248</v>
      </c>
      <c r="AU104"/>
    </row>
    <row r="105" spans="1:47" x14ac:dyDescent="0.25">
      <c r="A105" s="1">
        <v>45717</v>
      </c>
      <c r="B105" s="1">
        <v>45713</v>
      </c>
      <c r="C105" t="s">
        <v>247</v>
      </c>
      <c r="D105" t="s">
        <v>438</v>
      </c>
      <c r="E105">
        <v>1</v>
      </c>
      <c r="F105">
        <v>1253</v>
      </c>
      <c r="G105">
        <v>1982</v>
      </c>
      <c r="H105">
        <v>109</v>
      </c>
      <c r="I105" t="s">
        <v>248</v>
      </c>
      <c r="AU105"/>
    </row>
    <row r="106" spans="1:47" x14ac:dyDescent="0.25">
      <c r="A106" s="1">
        <v>45717</v>
      </c>
      <c r="B106" s="1">
        <v>45715</v>
      </c>
      <c r="C106" t="s">
        <v>247</v>
      </c>
      <c r="D106" t="s">
        <v>438</v>
      </c>
      <c r="E106">
        <v>1</v>
      </c>
      <c r="F106">
        <v>1506</v>
      </c>
      <c r="G106">
        <v>1982</v>
      </c>
      <c r="H106">
        <v>109.19</v>
      </c>
      <c r="I106" t="s">
        <v>248</v>
      </c>
      <c r="AU106"/>
    </row>
    <row r="107" spans="1:47" x14ac:dyDescent="0.25">
      <c r="A107" s="1">
        <v>45724</v>
      </c>
      <c r="B107" s="1">
        <v>45719</v>
      </c>
      <c r="C107" t="s">
        <v>247</v>
      </c>
      <c r="D107" t="s">
        <v>438</v>
      </c>
      <c r="E107">
        <v>1</v>
      </c>
      <c r="F107">
        <v>1325</v>
      </c>
      <c r="G107">
        <v>3230</v>
      </c>
      <c r="H107">
        <v>218.38</v>
      </c>
      <c r="I107" t="s">
        <v>248</v>
      </c>
      <c r="AU107"/>
    </row>
    <row r="108" spans="1:47" x14ac:dyDescent="0.25">
      <c r="A108" s="1">
        <v>45724</v>
      </c>
      <c r="B108" s="1">
        <v>45720</v>
      </c>
      <c r="C108" t="s">
        <v>247</v>
      </c>
      <c r="D108" t="s">
        <v>438</v>
      </c>
      <c r="E108">
        <v>1</v>
      </c>
      <c r="F108">
        <v>1548</v>
      </c>
      <c r="G108">
        <v>1982</v>
      </c>
      <c r="H108">
        <v>109.19</v>
      </c>
      <c r="I108" t="s">
        <v>248</v>
      </c>
      <c r="AU108"/>
    </row>
    <row r="109" spans="1:47" x14ac:dyDescent="0.25">
      <c r="A109" s="1">
        <v>45717</v>
      </c>
      <c r="B109" s="1">
        <v>45712</v>
      </c>
      <c r="C109" t="s">
        <v>67</v>
      </c>
      <c r="D109" t="s">
        <v>441</v>
      </c>
      <c r="E109">
        <v>1</v>
      </c>
      <c r="F109">
        <v>3288</v>
      </c>
      <c r="G109">
        <v>3830</v>
      </c>
      <c r="H109">
        <v>26</v>
      </c>
      <c r="I109" t="s">
        <v>68</v>
      </c>
      <c r="AU109"/>
    </row>
    <row r="110" spans="1:47" x14ac:dyDescent="0.25">
      <c r="A110" s="1">
        <v>45724</v>
      </c>
      <c r="B110" s="1">
        <v>45719</v>
      </c>
      <c r="C110" t="s">
        <v>67</v>
      </c>
      <c r="D110" t="s">
        <v>441</v>
      </c>
      <c r="E110">
        <v>1</v>
      </c>
      <c r="F110">
        <v>3568</v>
      </c>
      <c r="G110">
        <v>3830</v>
      </c>
      <c r="H110">
        <v>25.5</v>
      </c>
      <c r="I110" t="s">
        <v>68</v>
      </c>
      <c r="AU110"/>
    </row>
    <row r="111" spans="1:47" x14ac:dyDescent="0.25">
      <c r="A111" s="1">
        <v>45717</v>
      </c>
      <c r="B111" s="1">
        <v>45712</v>
      </c>
      <c r="C111" t="s">
        <v>181</v>
      </c>
      <c r="D111" t="s">
        <v>439</v>
      </c>
      <c r="E111">
        <v>2</v>
      </c>
      <c r="F111">
        <v>6034</v>
      </c>
      <c r="G111">
        <v>7648</v>
      </c>
      <c r="H111">
        <v>3838.53</v>
      </c>
      <c r="I111" t="s">
        <v>182</v>
      </c>
      <c r="AU111"/>
    </row>
    <row r="112" spans="1:47" x14ac:dyDescent="0.25">
      <c r="A112" s="1">
        <v>45717</v>
      </c>
      <c r="B112" s="1">
        <v>45713</v>
      </c>
      <c r="C112" t="s">
        <v>181</v>
      </c>
      <c r="D112" t="s">
        <v>439</v>
      </c>
      <c r="E112">
        <v>2</v>
      </c>
      <c r="F112">
        <v>5960</v>
      </c>
      <c r="G112">
        <v>7660</v>
      </c>
      <c r="H112">
        <v>3839</v>
      </c>
      <c r="I112" t="s">
        <v>182</v>
      </c>
      <c r="AU112"/>
    </row>
    <row r="113" spans="1:47" x14ac:dyDescent="0.25">
      <c r="A113" s="1">
        <v>45717</v>
      </c>
      <c r="B113" s="1">
        <v>45714</v>
      </c>
      <c r="C113" t="s">
        <v>181</v>
      </c>
      <c r="D113" t="s">
        <v>439</v>
      </c>
      <c r="E113">
        <v>1</v>
      </c>
      <c r="F113">
        <v>2928</v>
      </c>
      <c r="G113">
        <v>3818</v>
      </c>
      <c r="H113">
        <v>1800.93</v>
      </c>
      <c r="I113" t="s">
        <v>182</v>
      </c>
      <c r="AU113"/>
    </row>
    <row r="114" spans="1:47" x14ac:dyDescent="0.25">
      <c r="A114" s="1">
        <v>45717</v>
      </c>
      <c r="B114" s="1">
        <v>45715</v>
      </c>
      <c r="C114" t="s">
        <v>181</v>
      </c>
      <c r="D114" t="s">
        <v>439</v>
      </c>
      <c r="E114">
        <v>1</v>
      </c>
      <c r="F114">
        <v>2732</v>
      </c>
      <c r="G114">
        <v>3818</v>
      </c>
      <c r="H114">
        <v>1726.81</v>
      </c>
      <c r="I114" t="s">
        <v>182</v>
      </c>
      <c r="AU114"/>
    </row>
    <row r="115" spans="1:47" x14ac:dyDescent="0.25">
      <c r="A115" s="1">
        <v>45717</v>
      </c>
      <c r="B115" s="1">
        <v>45716</v>
      </c>
      <c r="C115" t="s">
        <v>181</v>
      </c>
      <c r="D115" t="s">
        <v>439</v>
      </c>
      <c r="E115">
        <v>1</v>
      </c>
      <c r="F115">
        <v>3075</v>
      </c>
      <c r="G115">
        <v>3818</v>
      </c>
      <c r="H115">
        <v>1726.81</v>
      </c>
      <c r="I115" t="s">
        <v>182</v>
      </c>
      <c r="AU115"/>
    </row>
    <row r="116" spans="1:47" x14ac:dyDescent="0.25">
      <c r="A116" s="1">
        <v>45724</v>
      </c>
      <c r="B116" s="1">
        <v>45719</v>
      </c>
      <c r="C116" t="s">
        <v>181</v>
      </c>
      <c r="D116" t="s">
        <v>439</v>
      </c>
      <c r="E116">
        <v>2</v>
      </c>
      <c r="F116">
        <v>6106</v>
      </c>
      <c r="G116">
        <v>7648</v>
      </c>
      <c r="H116">
        <v>3838.53</v>
      </c>
      <c r="I116" t="s">
        <v>182</v>
      </c>
      <c r="AU116"/>
    </row>
    <row r="117" spans="1:47" x14ac:dyDescent="0.25">
      <c r="A117" s="1">
        <v>45724</v>
      </c>
      <c r="B117" s="1">
        <v>45720</v>
      </c>
      <c r="C117" t="s">
        <v>181</v>
      </c>
      <c r="D117" t="s">
        <v>439</v>
      </c>
      <c r="E117">
        <v>1</v>
      </c>
      <c r="F117">
        <v>2599</v>
      </c>
      <c r="G117">
        <v>3818</v>
      </c>
      <c r="H117">
        <v>1800.93</v>
      </c>
      <c r="I117" t="s">
        <v>182</v>
      </c>
      <c r="AU117"/>
    </row>
    <row r="118" spans="1:47" x14ac:dyDescent="0.25">
      <c r="A118" s="1">
        <v>45717</v>
      </c>
      <c r="B118" s="1">
        <v>45712</v>
      </c>
      <c r="C118" t="s">
        <v>381</v>
      </c>
      <c r="D118" t="s">
        <v>439</v>
      </c>
      <c r="E118">
        <v>1</v>
      </c>
      <c r="F118">
        <v>2703</v>
      </c>
      <c r="G118">
        <v>3830</v>
      </c>
      <c r="H118">
        <v>173.4</v>
      </c>
      <c r="I118" t="s">
        <v>382</v>
      </c>
      <c r="AU118"/>
    </row>
    <row r="119" spans="1:47" x14ac:dyDescent="0.25">
      <c r="A119" s="1">
        <v>45717</v>
      </c>
      <c r="B119" s="1">
        <v>45712</v>
      </c>
      <c r="C119" t="s">
        <v>308</v>
      </c>
      <c r="D119" t="s">
        <v>440</v>
      </c>
      <c r="E119">
        <v>1</v>
      </c>
      <c r="F119">
        <v>2707</v>
      </c>
      <c r="G119">
        <v>3830</v>
      </c>
      <c r="H119">
        <v>477.93</v>
      </c>
      <c r="I119" t="s">
        <v>309</v>
      </c>
      <c r="AU119"/>
    </row>
    <row r="120" spans="1:47" x14ac:dyDescent="0.25">
      <c r="A120" s="1">
        <v>45717</v>
      </c>
      <c r="B120" s="1">
        <v>45713</v>
      </c>
      <c r="C120" t="s">
        <v>308</v>
      </c>
      <c r="D120" t="s">
        <v>440</v>
      </c>
      <c r="E120">
        <v>1</v>
      </c>
      <c r="F120">
        <v>2667</v>
      </c>
      <c r="G120">
        <v>3830</v>
      </c>
      <c r="H120">
        <v>477.93</v>
      </c>
      <c r="I120" t="s">
        <v>309</v>
      </c>
      <c r="AU120"/>
    </row>
    <row r="121" spans="1:47" x14ac:dyDescent="0.25">
      <c r="A121" s="1">
        <v>45717</v>
      </c>
      <c r="B121" s="1">
        <v>45714</v>
      </c>
      <c r="C121" t="s">
        <v>308</v>
      </c>
      <c r="D121" t="s">
        <v>440</v>
      </c>
      <c r="E121">
        <v>1</v>
      </c>
      <c r="F121">
        <v>1515</v>
      </c>
      <c r="G121">
        <v>3830</v>
      </c>
      <c r="H121">
        <v>477.93</v>
      </c>
      <c r="I121" t="s">
        <v>309</v>
      </c>
      <c r="AU121"/>
    </row>
    <row r="122" spans="1:47" x14ac:dyDescent="0.25">
      <c r="A122" s="1">
        <v>45724</v>
      </c>
      <c r="B122" s="1">
        <v>45720</v>
      </c>
      <c r="C122" t="s">
        <v>308</v>
      </c>
      <c r="D122" t="s">
        <v>440</v>
      </c>
      <c r="E122">
        <v>1</v>
      </c>
      <c r="F122">
        <v>1944</v>
      </c>
      <c r="G122">
        <v>3830</v>
      </c>
      <c r="H122">
        <v>477.93</v>
      </c>
      <c r="I122" t="s">
        <v>309</v>
      </c>
      <c r="AU122"/>
    </row>
    <row r="123" spans="1:47" x14ac:dyDescent="0.25">
      <c r="A123" s="1">
        <v>45717</v>
      </c>
      <c r="B123" s="1">
        <v>45712</v>
      </c>
      <c r="C123" t="s">
        <v>254</v>
      </c>
      <c r="D123" t="s">
        <v>441</v>
      </c>
      <c r="E123">
        <v>2</v>
      </c>
      <c r="F123">
        <v>2831</v>
      </c>
      <c r="G123">
        <v>3964</v>
      </c>
      <c r="H123">
        <v>921.86</v>
      </c>
      <c r="I123" t="s">
        <v>255</v>
      </c>
      <c r="AU123"/>
    </row>
    <row r="124" spans="1:47" x14ac:dyDescent="0.25">
      <c r="A124" s="1">
        <v>45717</v>
      </c>
      <c r="B124" s="1">
        <v>45713</v>
      </c>
      <c r="C124" t="s">
        <v>254</v>
      </c>
      <c r="D124" t="s">
        <v>441</v>
      </c>
      <c r="E124">
        <v>1</v>
      </c>
      <c r="F124">
        <v>1089</v>
      </c>
      <c r="G124">
        <v>1926</v>
      </c>
      <c r="H124">
        <v>460.93</v>
      </c>
      <c r="I124" t="s">
        <v>255</v>
      </c>
      <c r="AU124"/>
    </row>
    <row r="125" spans="1:47" x14ac:dyDescent="0.25">
      <c r="A125" s="1">
        <v>45717</v>
      </c>
      <c r="B125" s="1">
        <v>45714</v>
      </c>
      <c r="C125" t="s">
        <v>254</v>
      </c>
      <c r="D125" t="s">
        <v>441</v>
      </c>
      <c r="E125">
        <v>1</v>
      </c>
      <c r="F125">
        <v>1022</v>
      </c>
      <c r="G125">
        <v>1982</v>
      </c>
      <c r="H125">
        <v>460.93</v>
      </c>
      <c r="I125" t="s">
        <v>255</v>
      </c>
      <c r="AU125"/>
    </row>
    <row r="126" spans="1:47" x14ac:dyDescent="0.25">
      <c r="A126" s="1">
        <v>45717</v>
      </c>
      <c r="B126" s="1">
        <v>45716</v>
      </c>
      <c r="C126" t="s">
        <v>254</v>
      </c>
      <c r="D126" t="s">
        <v>441</v>
      </c>
      <c r="E126">
        <v>1</v>
      </c>
      <c r="F126">
        <v>1349</v>
      </c>
      <c r="G126">
        <v>1982</v>
      </c>
      <c r="H126">
        <v>460.93</v>
      </c>
      <c r="I126" t="s">
        <v>255</v>
      </c>
      <c r="AU126"/>
    </row>
    <row r="127" spans="1:47" x14ac:dyDescent="0.25">
      <c r="A127" s="1">
        <v>45724</v>
      </c>
      <c r="B127" s="1">
        <v>45719</v>
      </c>
      <c r="C127" t="s">
        <v>254</v>
      </c>
      <c r="D127" t="s">
        <v>441</v>
      </c>
      <c r="E127">
        <v>2</v>
      </c>
      <c r="F127">
        <v>2908</v>
      </c>
      <c r="G127">
        <v>3964</v>
      </c>
      <c r="H127">
        <v>921.86</v>
      </c>
      <c r="I127" t="s">
        <v>255</v>
      </c>
      <c r="AU127"/>
    </row>
    <row r="128" spans="1:47" x14ac:dyDescent="0.25">
      <c r="A128" s="1">
        <v>45724</v>
      </c>
      <c r="B128" s="1">
        <v>45720</v>
      </c>
      <c r="C128" t="s">
        <v>254</v>
      </c>
      <c r="D128" t="s">
        <v>441</v>
      </c>
      <c r="E128">
        <v>1</v>
      </c>
      <c r="F128">
        <v>2118</v>
      </c>
      <c r="G128">
        <v>3830</v>
      </c>
      <c r="H128">
        <v>922</v>
      </c>
      <c r="I128" t="s">
        <v>255</v>
      </c>
      <c r="AU128"/>
    </row>
    <row r="129" spans="1:47" x14ac:dyDescent="0.25">
      <c r="A129" s="1">
        <v>45724</v>
      </c>
      <c r="B129" s="1">
        <v>45721</v>
      </c>
      <c r="C129" t="s">
        <v>254</v>
      </c>
      <c r="D129" t="s">
        <v>441</v>
      </c>
      <c r="E129">
        <v>1</v>
      </c>
      <c r="F129">
        <v>1666</v>
      </c>
      <c r="G129">
        <v>3230</v>
      </c>
      <c r="H129">
        <v>1102.6400000000001</v>
      </c>
      <c r="I129" t="s">
        <v>255</v>
      </c>
      <c r="AU129"/>
    </row>
    <row r="130" spans="1:47" x14ac:dyDescent="0.25">
      <c r="A130" s="1">
        <v>45717</v>
      </c>
      <c r="B130" s="1">
        <v>45712</v>
      </c>
      <c r="C130" t="s">
        <v>98</v>
      </c>
      <c r="D130" t="s">
        <v>441</v>
      </c>
      <c r="E130">
        <v>4</v>
      </c>
      <c r="F130">
        <v>9639</v>
      </c>
      <c r="G130">
        <v>13460</v>
      </c>
      <c r="H130">
        <v>4617.3100000000004</v>
      </c>
      <c r="I130" t="s">
        <v>99</v>
      </c>
      <c r="AU130"/>
    </row>
    <row r="131" spans="1:47" x14ac:dyDescent="0.25">
      <c r="A131" s="1">
        <v>45717</v>
      </c>
      <c r="B131" s="1">
        <v>45712</v>
      </c>
      <c r="C131" t="s">
        <v>98</v>
      </c>
      <c r="D131" t="s">
        <v>441</v>
      </c>
      <c r="E131">
        <v>4</v>
      </c>
      <c r="F131">
        <v>9639</v>
      </c>
      <c r="G131">
        <v>13460</v>
      </c>
      <c r="H131">
        <v>4617.3100000000004</v>
      </c>
      <c r="I131" t="s">
        <v>99</v>
      </c>
      <c r="AU131"/>
    </row>
    <row r="132" spans="1:47" x14ac:dyDescent="0.25">
      <c r="A132" s="1">
        <v>45717</v>
      </c>
      <c r="B132" s="1">
        <v>45712</v>
      </c>
      <c r="C132" t="s">
        <v>98</v>
      </c>
      <c r="D132" t="s">
        <v>441</v>
      </c>
      <c r="E132">
        <v>4</v>
      </c>
      <c r="F132">
        <v>9639</v>
      </c>
      <c r="G132">
        <v>13460</v>
      </c>
      <c r="H132">
        <v>4617.3100000000004</v>
      </c>
      <c r="I132" t="s">
        <v>99</v>
      </c>
      <c r="AU132"/>
    </row>
    <row r="133" spans="1:47" x14ac:dyDescent="0.25">
      <c r="A133" s="1">
        <v>45717</v>
      </c>
      <c r="B133" s="1">
        <v>45713</v>
      </c>
      <c r="C133" t="s">
        <v>98</v>
      </c>
      <c r="D133" t="s">
        <v>441</v>
      </c>
      <c r="E133">
        <v>2</v>
      </c>
      <c r="F133">
        <v>6376</v>
      </c>
      <c r="G133">
        <v>7660</v>
      </c>
      <c r="H133">
        <v>2638.46</v>
      </c>
      <c r="I133" t="s">
        <v>99</v>
      </c>
      <c r="AU133"/>
    </row>
    <row r="134" spans="1:47" x14ac:dyDescent="0.25">
      <c r="A134" s="1">
        <v>45717</v>
      </c>
      <c r="B134" s="1">
        <v>45713</v>
      </c>
      <c r="C134" t="s">
        <v>98</v>
      </c>
      <c r="D134" t="s">
        <v>441</v>
      </c>
      <c r="E134">
        <v>2</v>
      </c>
      <c r="F134">
        <v>6376</v>
      </c>
      <c r="G134">
        <v>7660</v>
      </c>
      <c r="H134">
        <v>2638.46</v>
      </c>
      <c r="I134" t="s">
        <v>99</v>
      </c>
      <c r="AU134"/>
    </row>
    <row r="135" spans="1:47" x14ac:dyDescent="0.25">
      <c r="A135" s="1">
        <v>45717</v>
      </c>
      <c r="B135" s="1">
        <v>45713</v>
      </c>
      <c r="C135" t="s">
        <v>98</v>
      </c>
      <c r="D135" t="s">
        <v>441</v>
      </c>
      <c r="E135">
        <v>2</v>
      </c>
      <c r="F135">
        <v>6376</v>
      </c>
      <c r="G135">
        <v>7660</v>
      </c>
      <c r="H135">
        <v>2638.46</v>
      </c>
      <c r="I135" t="s">
        <v>99</v>
      </c>
      <c r="AU135"/>
    </row>
    <row r="136" spans="1:47" x14ac:dyDescent="0.25">
      <c r="A136" s="1">
        <v>45717</v>
      </c>
      <c r="B136" s="1">
        <v>45714</v>
      </c>
      <c r="C136" t="s">
        <v>98</v>
      </c>
      <c r="D136" t="s">
        <v>441</v>
      </c>
      <c r="E136">
        <v>3</v>
      </c>
      <c r="F136">
        <v>5477</v>
      </c>
      <c r="G136">
        <v>7782</v>
      </c>
      <c r="H136">
        <v>2649.21</v>
      </c>
      <c r="I136" t="s">
        <v>99</v>
      </c>
      <c r="AU136"/>
    </row>
    <row r="137" spans="1:47" x14ac:dyDescent="0.25">
      <c r="A137" s="1">
        <v>45717</v>
      </c>
      <c r="B137" s="1">
        <v>45714</v>
      </c>
      <c r="C137" t="s">
        <v>98</v>
      </c>
      <c r="D137" t="s">
        <v>441</v>
      </c>
      <c r="E137">
        <v>3</v>
      </c>
      <c r="F137">
        <v>5477</v>
      </c>
      <c r="G137">
        <v>7782</v>
      </c>
      <c r="H137">
        <v>2649.21</v>
      </c>
      <c r="I137" t="s">
        <v>99</v>
      </c>
      <c r="AU137"/>
    </row>
    <row r="138" spans="1:47" x14ac:dyDescent="0.25">
      <c r="A138" s="1">
        <v>45717</v>
      </c>
      <c r="B138" s="1">
        <v>45714</v>
      </c>
      <c r="C138" t="s">
        <v>98</v>
      </c>
      <c r="D138" t="s">
        <v>441</v>
      </c>
      <c r="E138">
        <v>3</v>
      </c>
      <c r="F138">
        <v>5477</v>
      </c>
      <c r="G138">
        <v>7782</v>
      </c>
      <c r="H138">
        <v>2649.21</v>
      </c>
      <c r="I138" t="s">
        <v>99</v>
      </c>
      <c r="AU138"/>
    </row>
    <row r="139" spans="1:47" x14ac:dyDescent="0.25">
      <c r="A139" s="1">
        <v>45717</v>
      </c>
      <c r="B139" s="1">
        <v>45715</v>
      </c>
      <c r="C139" t="s">
        <v>98</v>
      </c>
      <c r="D139" t="s">
        <v>441</v>
      </c>
      <c r="E139">
        <v>2</v>
      </c>
      <c r="F139">
        <v>4279</v>
      </c>
      <c r="G139">
        <v>5812</v>
      </c>
      <c r="H139">
        <v>1979</v>
      </c>
      <c r="I139" t="s">
        <v>99</v>
      </c>
      <c r="AU139"/>
    </row>
    <row r="140" spans="1:47" x14ac:dyDescent="0.25">
      <c r="A140" s="1">
        <v>45717</v>
      </c>
      <c r="B140" s="1">
        <v>45715</v>
      </c>
      <c r="C140" t="s">
        <v>98</v>
      </c>
      <c r="D140" t="s">
        <v>441</v>
      </c>
      <c r="E140">
        <v>2</v>
      </c>
      <c r="F140">
        <v>4279</v>
      </c>
      <c r="G140">
        <v>5812</v>
      </c>
      <c r="H140">
        <v>1979</v>
      </c>
      <c r="I140" t="s">
        <v>99</v>
      </c>
      <c r="AU140"/>
    </row>
    <row r="141" spans="1:47" x14ac:dyDescent="0.25">
      <c r="A141" s="1">
        <v>45717</v>
      </c>
      <c r="B141" s="1">
        <v>45715</v>
      </c>
      <c r="C141" t="s">
        <v>98</v>
      </c>
      <c r="D141" t="s">
        <v>441</v>
      </c>
      <c r="E141">
        <v>2</v>
      </c>
      <c r="F141">
        <v>4279</v>
      </c>
      <c r="G141">
        <v>5812</v>
      </c>
      <c r="H141">
        <v>1979</v>
      </c>
      <c r="I141" t="s">
        <v>99</v>
      </c>
      <c r="AU141"/>
    </row>
    <row r="142" spans="1:47" x14ac:dyDescent="0.25">
      <c r="A142" s="1">
        <v>45717</v>
      </c>
      <c r="B142" s="1">
        <v>45716</v>
      </c>
      <c r="C142" t="s">
        <v>98</v>
      </c>
      <c r="D142" t="s">
        <v>441</v>
      </c>
      <c r="E142">
        <v>2</v>
      </c>
      <c r="F142">
        <v>4202</v>
      </c>
      <c r="G142">
        <v>7648</v>
      </c>
      <c r="H142">
        <v>4018.74</v>
      </c>
      <c r="I142" t="s">
        <v>99</v>
      </c>
      <c r="AU142"/>
    </row>
    <row r="143" spans="1:47" x14ac:dyDescent="0.25">
      <c r="A143" s="1">
        <v>45717</v>
      </c>
      <c r="B143" s="1">
        <v>45716</v>
      </c>
      <c r="C143" t="s">
        <v>98</v>
      </c>
      <c r="D143" t="s">
        <v>441</v>
      </c>
      <c r="E143">
        <v>2</v>
      </c>
      <c r="F143">
        <v>4202</v>
      </c>
      <c r="G143">
        <v>7648</v>
      </c>
      <c r="H143">
        <v>4018.74</v>
      </c>
      <c r="I143" t="s">
        <v>99</v>
      </c>
      <c r="AU143"/>
    </row>
    <row r="144" spans="1:47" x14ac:dyDescent="0.25">
      <c r="A144" s="1">
        <v>45717</v>
      </c>
      <c r="B144" s="1">
        <v>45716</v>
      </c>
      <c r="C144" t="s">
        <v>98</v>
      </c>
      <c r="D144" t="s">
        <v>441</v>
      </c>
      <c r="E144">
        <v>2</v>
      </c>
      <c r="F144">
        <v>4202</v>
      </c>
      <c r="G144">
        <v>7648</v>
      </c>
      <c r="H144">
        <v>4018.74</v>
      </c>
      <c r="I144" t="s">
        <v>99</v>
      </c>
      <c r="AU144"/>
    </row>
    <row r="145" spans="1:47" x14ac:dyDescent="0.25">
      <c r="A145" s="1">
        <v>45724</v>
      </c>
      <c r="B145" s="1">
        <v>45719</v>
      </c>
      <c r="C145" t="s">
        <v>98</v>
      </c>
      <c r="D145" t="s">
        <v>441</v>
      </c>
      <c r="E145">
        <v>4</v>
      </c>
      <c r="F145">
        <v>10105</v>
      </c>
      <c r="G145">
        <v>15320</v>
      </c>
      <c r="H145">
        <v>5276.92</v>
      </c>
      <c r="I145" t="s">
        <v>99</v>
      </c>
      <c r="AU145"/>
    </row>
    <row r="146" spans="1:47" x14ac:dyDescent="0.25">
      <c r="A146" s="1">
        <v>45724</v>
      </c>
      <c r="B146" s="1">
        <v>45719</v>
      </c>
      <c r="C146" t="s">
        <v>98</v>
      </c>
      <c r="D146" t="s">
        <v>441</v>
      </c>
      <c r="E146">
        <v>4</v>
      </c>
      <c r="F146">
        <v>10105</v>
      </c>
      <c r="G146">
        <v>15320</v>
      </c>
      <c r="H146">
        <v>5276.92</v>
      </c>
      <c r="I146" t="s">
        <v>99</v>
      </c>
      <c r="AU146"/>
    </row>
    <row r="147" spans="1:47" x14ac:dyDescent="0.25">
      <c r="A147" s="1">
        <v>45724</v>
      </c>
      <c r="B147" s="1">
        <v>45719</v>
      </c>
      <c r="C147" t="s">
        <v>98</v>
      </c>
      <c r="D147" t="s">
        <v>441</v>
      </c>
      <c r="E147">
        <v>4</v>
      </c>
      <c r="F147">
        <v>10105</v>
      </c>
      <c r="G147">
        <v>15320</v>
      </c>
      <c r="H147">
        <v>5276.92</v>
      </c>
      <c r="I147" t="s">
        <v>99</v>
      </c>
      <c r="AU147"/>
    </row>
    <row r="148" spans="1:47" x14ac:dyDescent="0.25">
      <c r="A148" s="1">
        <v>45724</v>
      </c>
      <c r="B148" s="1">
        <v>45720</v>
      </c>
      <c r="C148" t="s">
        <v>98</v>
      </c>
      <c r="D148" t="s">
        <v>441</v>
      </c>
      <c r="E148">
        <v>3</v>
      </c>
      <c r="F148">
        <v>8114</v>
      </c>
      <c r="G148">
        <v>11466</v>
      </c>
      <c r="H148">
        <v>3968.43</v>
      </c>
      <c r="I148" t="s">
        <v>99</v>
      </c>
      <c r="AU148"/>
    </row>
    <row r="149" spans="1:47" x14ac:dyDescent="0.25">
      <c r="A149" s="1">
        <v>45724</v>
      </c>
      <c r="B149" s="1">
        <v>45720</v>
      </c>
      <c r="C149" t="s">
        <v>98</v>
      </c>
      <c r="D149" t="s">
        <v>441</v>
      </c>
      <c r="E149">
        <v>3</v>
      </c>
      <c r="F149">
        <v>8114</v>
      </c>
      <c r="G149">
        <v>11466</v>
      </c>
      <c r="H149">
        <v>3968.43</v>
      </c>
      <c r="I149" t="s">
        <v>99</v>
      </c>
      <c r="AU149"/>
    </row>
    <row r="150" spans="1:47" x14ac:dyDescent="0.25">
      <c r="A150" s="1">
        <v>45724</v>
      </c>
      <c r="B150" s="1">
        <v>45720</v>
      </c>
      <c r="C150" t="s">
        <v>98</v>
      </c>
      <c r="D150" t="s">
        <v>441</v>
      </c>
      <c r="E150">
        <v>3</v>
      </c>
      <c r="F150">
        <v>8114</v>
      </c>
      <c r="G150">
        <v>11466</v>
      </c>
      <c r="H150">
        <v>3968.43</v>
      </c>
      <c r="I150" t="s">
        <v>99</v>
      </c>
      <c r="AU150"/>
    </row>
    <row r="151" spans="1:47" x14ac:dyDescent="0.25">
      <c r="A151" s="1">
        <v>45717</v>
      </c>
      <c r="B151" s="1">
        <v>45712</v>
      </c>
      <c r="C151" t="s">
        <v>110</v>
      </c>
      <c r="D151" t="s">
        <v>440</v>
      </c>
      <c r="E151">
        <v>1</v>
      </c>
      <c r="F151">
        <v>2940</v>
      </c>
      <c r="G151">
        <v>3830</v>
      </c>
      <c r="H151">
        <v>853.83</v>
      </c>
      <c r="I151" t="s">
        <v>111</v>
      </c>
      <c r="AU151"/>
    </row>
    <row r="152" spans="1:47" x14ac:dyDescent="0.25">
      <c r="A152" s="1">
        <v>45724</v>
      </c>
      <c r="B152" s="1">
        <v>45719</v>
      </c>
      <c r="C152" t="s">
        <v>110</v>
      </c>
      <c r="D152" t="s">
        <v>440</v>
      </c>
      <c r="E152">
        <v>1</v>
      </c>
      <c r="F152">
        <v>3054</v>
      </c>
      <c r="G152">
        <v>3830</v>
      </c>
      <c r="H152">
        <v>853.83</v>
      </c>
      <c r="I152" t="s">
        <v>111</v>
      </c>
      <c r="AU152"/>
    </row>
    <row r="153" spans="1:47" x14ac:dyDescent="0.25">
      <c r="A153" s="1">
        <v>45717</v>
      </c>
      <c r="B153" s="1">
        <v>45712</v>
      </c>
      <c r="C153" t="s">
        <v>377</v>
      </c>
      <c r="D153" t="s">
        <v>440</v>
      </c>
      <c r="E153">
        <v>1</v>
      </c>
      <c r="F153">
        <v>2785</v>
      </c>
      <c r="G153">
        <v>3818</v>
      </c>
      <c r="H153">
        <v>216.75</v>
      </c>
      <c r="I153" t="s">
        <v>378</v>
      </c>
      <c r="AU153"/>
    </row>
    <row r="154" spans="1:47" x14ac:dyDescent="0.25">
      <c r="A154" s="1">
        <v>45717</v>
      </c>
      <c r="B154" s="1">
        <v>45716</v>
      </c>
      <c r="C154" t="s">
        <v>377</v>
      </c>
      <c r="D154" t="s">
        <v>440</v>
      </c>
      <c r="E154">
        <v>1</v>
      </c>
      <c r="F154">
        <v>2827</v>
      </c>
      <c r="G154">
        <v>3818</v>
      </c>
      <c r="H154">
        <v>216.75</v>
      </c>
      <c r="I154" t="s">
        <v>378</v>
      </c>
      <c r="AU154"/>
    </row>
    <row r="155" spans="1:47" x14ac:dyDescent="0.25">
      <c r="A155" s="1">
        <v>45724</v>
      </c>
      <c r="B155" s="1">
        <v>45719</v>
      </c>
      <c r="C155" t="s">
        <v>377</v>
      </c>
      <c r="D155" t="s">
        <v>440</v>
      </c>
      <c r="E155">
        <v>1</v>
      </c>
      <c r="F155">
        <v>2805</v>
      </c>
      <c r="G155">
        <v>3818</v>
      </c>
      <c r="H155">
        <v>216.75</v>
      </c>
      <c r="I155" t="s">
        <v>378</v>
      </c>
      <c r="AU155"/>
    </row>
    <row r="156" spans="1:47" x14ac:dyDescent="0.25">
      <c r="A156" s="1">
        <v>45717</v>
      </c>
      <c r="B156" s="1">
        <v>45712</v>
      </c>
      <c r="C156" t="s">
        <v>249</v>
      </c>
      <c r="D156" t="s">
        <v>440</v>
      </c>
      <c r="E156">
        <v>1</v>
      </c>
      <c r="F156">
        <v>3205</v>
      </c>
      <c r="G156">
        <v>3830</v>
      </c>
      <c r="H156">
        <v>4118.8999999999996</v>
      </c>
      <c r="I156" t="s">
        <v>250</v>
      </c>
      <c r="AU156"/>
    </row>
    <row r="157" spans="1:47" x14ac:dyDescent="0.25">
      <c r="A157" s="1">
        <v>45717</v>
      </c>
      <c r="B157" s="1">
        <v>45713</v>
      </c>
      <c r="C157" t="s">
        <v>249</v>
      </c>
      <c r="D157" t="s">
        <v>440</v>
      </c>
      <c r="E157">
        <v>1</v>
      </c>
      <c r="F157">
        <v>3190</v>
      </c>
      <c r="G157">
        <v>3830</v>
      </c>
      <c r="H157">
        <v>4118.8999999999996</v>
      </c>
      <c r="I157" t="s">
        <v>250</v>
      </c>
      <c r="AU157"/>
    </row>
    <row r="158" spans="1:47" x14ac:dyDescent="0.25">
      <c r="A158" s="1">
        <v>45717</v>
      </c>
      <c r="B158" s="1">
        <v>45714</v>
      </c>
      <c r="C158" t="s">
        <v>249</v>
      </c>
      <c r="D158" t="s">
        <v>440</v>
      </c>
      <c r="E158">
        <v>1</v>
      </c>
      <c r="F158">
        <v>3314</v>
      </c>
      <c r="G158">
        <v>3830</v>
      </c>
      <c r="H158">
        <v>4118.8999999999996</v>
      </c>
      <c r="I158" t="s">
        <v>250</v>
      </c>
      <c r="AU158"/>
    </row>
    <row r="159" spans="1:47" x14ac:dyDescent="0.25">
      <c r="A159" s="1">
        <v>45717</v>
      </c>
      <c r="B159" s="1">
        <v>45715</v>
      </c>
      <c r="C159" t="s">
        <v>249</v>
      </c>
      <c r="D159" t="s">
        <v>440</v>
      </c>
      <c r="E159">
        <v>1</v>
      </c>
      <c r="F159">
        <v>3264</v>
      </c>
      <c r="G159">
        <v>3818</v>
      </c>
      <c r="H159">
        <v>4645.13</v>
      </c>
      <c r="I159" t="s">
        <v>250</v>
      </c>
      <c r="AU159"/>
    </row>
    <row r="160" spans="1:47" x14ac:dyDescent="0.25">
      <c r="A160" s="1">
        <v>45717</v>
      </c>
      <c r="B160" s="1">
        <v>45716</v>
      </c>
      <c r="C160" t="s">
        <v>249</v>
      </c>
      <c r="D160" t="s">
        <v>440</v>
      </c>
      <c r="E160">
        <v>1</v>
      </c>
      <c r="F160">
        <v>3033</v>
      </c>
      <c r="G160">
        <v>3830</v>
      </c>
      <c r="H160">
        <v>4118.8999999999996</v>
      </c>
      <c r="I160" t="s">
        <v>250</v>
      </c>
      <c r="AU160"/>
    </row>
    <row r="161" spans="1:47" x14ac:dyDescent="0.25">
      <c r="A161" s="1">
        <v>45724</v>
      </c>
      <c r="B161" s="1">
        <v>45719</v>
      </c>
      <c r="C161" t="s">
        <v>249</v>
      </c>
      <c r="D161" t="s">
        <v>440</v>
      </c>
      <c r="E161">
        <v>1</v>
      </c>
      <c r="F161">
        <v>2892</v>
      </c>
      <c r="G161">
        <v>3830</v>
      </c>
      <c r="H161">
        <v>4217.01</v>
      </c>
      <c r="I161" t="s">
        <v>250</v>
      </c>
      <c r="AU161"/>
    </row>
    <row r="162" spans="1:47" x14ac:dyDescent="0.25">
      <c r="A162" s="1">
        <v>45717</v>
      </c>
      <c r="B162" s="1">
        <v>45712</v>
      </c>
      <c r="C162" t="s">
        <v>435</v>
      </c>
      <c r="D162" t="s">
        <v>441</v>
      </c>
      <c r="E162">
        <v>2</v>
      </c>
      <c r="F162">
        <v>4390</v>
      </c>
      <c r="G162">
        <v>5800</v>
      </c>
      <c r="H162">
        <v>2370.86</v>
      </c>
      <c r="I162" t="s">
        <v>436</v>
      </c>
      <c r="AU162"/>
    </row>
    <row r="163" spans="1:47" x14ac:dyDescent="0.25">
      <c r="A163" s="1">
        <v>45724</v>
      </c>
      <c r="B163" s="1">
        <v>45719</v>
      </c>
      <c r="C163" t="s">
        <v>435</v>
      </c>
      <c r="D163" t="s">
        <v>441</v>
      </c>
      <c r="E163">
        <v>1</v>
      </c>
      <c r="F163">
        <v>1512</v>
      </c>
      <c r="G163">
        <v>1982</v>
      </c>
      <c r="H163">
        <v>783.13</v>
      </c>
      <c r="I163" t="s">
        <v>436</v>
      </c>
      <c r="AU163"/>
    </row>
    <row r="164" spans="1:47" x14ac:dyDescent="0.25">
      <c r="A164" s="1">
        <v>45717</v>
      </c>
      <c r="B164" s="1">
        <v>45712</v>
      </c>
      <c r="C164" t="s">
        <v>143</v>
      </c>
      <c r="D164" t="s">
        <v>437</v>
      </c>
      <c r="E164">
        <v>1</v>
      </c>
      <c r="F164">
        <v>3216</v>
      </c>
      <c r="G164">
        <v>3830</v>
      </c>
      <c r="H164">
        <v>1172.45</v>
      </c>
      <c r="I164" t="s">
        <v>144</v>
      </c>
      <c r="AU164"/>
    </row>
    <row r="165" spans="1:47" x14ac:dyDescent="0.25">
      <c r="A165" s="1">
        <v>45724</v>
      </c>
      <c r="B165" s="1">
        <v>45719</v>
      </c>
      <c r="C165" t="s">
        <v>143</v>
      </c>
      <c r="D165" t="s">
        <v>437</v>
      </c>
      <c r="E165">
        <v>1</v>
      </c>
      <c r="F165">
        <v>3417</v>
      </c>
      <c r="G165">
        <v>3830</v>
      </c>
      <c r="H165">
        <v>1172.45</v>
      </c>
      <c r="I165" t="s">
        <v>144</v>
      </c>
      <c r="AU165"/>
    </row>
    <row r="166" spans="1:47" x14ac:dyDescent="0.25">
      <c r="A166" s="1">
        <v>45717</v>
      </c>
      <c r="B166" s="1">
        <v>45712</v>
      </c>
      <c r="C166" t="s">
        <v>332</v>
      </c>
      <c r="D166" t="s">
        <v>439</v>
      </c>
      <c r="E166">
        <v>2</v>
      </c>
      <c r="F166">
        <v>4901</v>
      </c>
      <c r="G166">
        <v>5812</v>
      </c>
      <c r="H166">
        <v>2284.94</v>
      </c>
      <c r="I166" t="s">
        <v>333</v>
      </c>
      <c r="AU166"/>
    </row>
    <row r="167" spans="1:47" x14ac:dyDescent="0.25">
      <c r="A167" s="1">
        <v>45717</v>
      </c>
      <c r="B167" s="1">
        <v>45713</v>
      </c>
      <c r="C167" t="s">
        <v>332</v>
      </c>
      <c r="D167" t="s">
        <v>439</v>
      </c>
      <c r="E167">
        <v>1</v>
      </c>
      <c r="F167">
        <v>3354</v>
      </c>
      <c r="G167">
        <v>3830</v>
      </c>
      <c r="H167">
        <v>1501.81</v>
      </c>
      <c r="I167" t="s">
        <v>333</v>
      </c>
      <c r="AU167"/>
    </row>
    <row r="168" spans="1:47" x14ac:dyDescent="0.25">
      <c r="A168" s="1">
        <v>45717</v>
      </c>
      <c r="B168" s="1">
        <v>45714</v>
      </c>
      <c r="C168" t="s">
        <v>332</v>
      </c>
      <c r="D168" t="s">
        <v>439</v>
      </c>
      <c r="E168">
        <v>1</v>
      </c>
      <c r="F168">
        <v>2767</v>
      </c>
      <c r="G168">
        <v>3830</v>
      </c>
      <c r="H168">
        <v>1501.81</v>
      </c>
      <c r="I168" t="s">
        <v>333</v>
      </c>
      <c r="AU168"/>
    </row>
    <row r="169" spans="1:47" x14ac:dyDescent="0.25">
      <c r="A169" s="1">
        <v>45717</v>
      </c>
      <c r="B169" s="1">
        <v>45715</v>
      </c>
      <c r="C169" t="s">
        <v>332</v>
      </c>
      <c r="D169" t="s">
        <v>439</v>
      </c>
      <c r="E169">
        <v>1</v>
      </c>
      <c r="F169">
        <v>3228</v>
      </c>
      <c r="G169">
        <v>3830</v>
      </c>
      <c r="H169">
        <v>1501.81</v>
      </c>
      <c r="I169" t="s">
        <v>333</v>
      </c>
      <c r="AU169"/>
    </row>
    <row r="170" spans="1:47" x14ac:dyDescent="0.25">
      <c r="A170" s="1">
        <v>45717</v>
      </c>
      <c r="B170" s="1">
        <v>45716</v>
      </c>
      <c r="C170" t="s">
        <v>332</v>
      </c>
      <c r="D170" t="s">
        <v>439</v>
      </c>
      <c r="E170">
        <v>1</v>
      </c>
      <c r="F170">
        <v>3080</v>
      </c>
      <c r="G170">
        <v>3830</v>
      </c>
      <c r="H170">
        <v>1227.48</v>
      </c>
      <c r="I170" t="s">
        <v>333</v>
      </c>
      <c r="AU170"/>
    </row>
    <row r="171" spans="1:47" x14ac:dyDescent="0.25">
      <c r="A171" s="1">
        <v>45724</v>
      </c>
      <c r="B171" s="1">
        <v>45719</v>
      </c>
      <c r="C171" t="s">
        <v>332</v>
      </c>
      <c r="D171" t="s">
        <v>439</v>
      </c>
      <c r="E171">
        <v>2</v>
      </c>
      <c r="F171">
        <v>5816</v>
      </c>
      <c r="G171">
        <v>7648</v>
      </c>
      <c r="H171">
        <v>3068</v>
      </c>
      <c r="I171" t="s">
        <v>333</v>
      </c>
      <c r="AU171"/>
    </row>
    <row r="172" spans="1:47" x14ac:dyDescent="0.25">
      <c r="A172" s="1">
        <v>45724</v>
      </c>
      <c r="B172" s="1">
        <v>45720</v>
      </c>
      <c r="C172" t="s">
        <v>332</v>
      </c>
      <c r="D172" t="s">
        <v>439</v>
      </c>
      <c r="E172">
        <v>1</v>
      </c>
      <c r="F172">
        <v>2670</v>
      </c>
      <c r="G172">
        <v>3830</v>
      </c>
      <c r="H172">
        <v>1501.81</v>
      </c>
      <c r="I172" t="s">
        <v>333</v>
      </c>
      <c r="AU172"/>
    </row>
    <row r="173" spans="1:47" x14ac:dyDescent="0.25">
      <c r="A173" s="1">
        <v>45717</v>
      </c>
      <c r="B173" s="1">
        <v>45712</v>
      </c>
      <c r="C173" t="s">
        <v>428</v>
      </c>
      <c r="D173" t="s">
        <v>441</v>
      </c>
      <c r="E173">
        <v>1</v>
      </c>
      <c r="F173">
        <v>3278</v>
      </c>
      <c r="G173">
        <v>3830</v>
      </c>
      <c r="H173">
        <v>4895.47</v>
      </c>
      <c r="I173" t="s">
        <v>429</v>
      </c>
      <c r="AU173"/>
    </row>
    <row r="174" spans="1:47" x14ac:dyDescent="0.25">
      <c r="A174" s="1">
        <v>45717</v>
      </c>
      <c r="B174" s="1">
        <v>45714</v>
      </c>
      <c r="C174" t="s">
        <v>428</v>
      </c>
      <c r="D174" t="s">
        <v>441</v>
      </c>
      <c r="E174">
        <v>1</v>
      </c>
      <c r="F174">
        <v>2876</v>
      </c>
      <c r="G174">
        <v>3818</v>
      </c>
      <c r="H174">
        <v>4118.1400000000003</v>
      </c>
      <c r="I174" t="s">
        <v>429</v>
      </c>
      <c r="AU174"/>
    </row>
    <row r="175" spans="1:47" x14ac:dyDescent="0.25">
      <c r="A175" s="1">
        <v>45717</v>
      </c>
      <c r="B175" s="1">
        <v>45715</v>
      </c>
      <c r="C175" t="s">
        <v>428</v>
      </c>
      <c r="D175" t="s">
        <v>441</v>
      </c>
      <c r="E175">
        <v>1</v>
      </c>
      <c r="F175">
        <v>2893</v>
      </c>
      <c r="G175">
        <v>3818</v>
      </c>
      <c r="H175">
        <v>4118.1400000000003</v>
      </c>
      <c r="I175" t="s">
        <v>429</v>
      </c>
      <c r="AU175"/>
    </row>
    <row r="176" spans="1:47" x14ac:dyDescent="0.25">
      <c r="A176" s="1">
        <v>45717</v>
      </c>
      <c r="B176" s="1">
        <v>45716</v>
      </c>
      <c r="C176" t="s">
        <v>428</v>
      </c>
      <c r="D176" t="s">
        <v>441</v>
      </c>
      <c r="E176">
        <v>1</v>
      </c>
      <c r="F176">
        <v>2927</v>
      </c>
      <c r="G176">
        <v>3818</v>
      </c>
      <c r="H176">
        <v>4118.1400000000003</v>
      </c>
      <c r="I176" t="s">
        <v>429</v>
      </c>
      <c r="AU176"/>
    </row>
    <row r="177" spans="1:47" x14ac:dyDescent="0.25">
      <c r="A177" s="1">
        <v>45724</v>
      </c>
      <c r="B177" s="1">
        <v>45719</v>
      </c>
      <c r="C177" t="s">
        <v>428</v>
      </c>
      <c r="D177" t="s">
        <v>441</v>
      </c>
      <c r="E177">
        <v>1</v>
      </c>
      <c r="F177">
        <v>3060</v>
      </c>
      <c r="G177">
        <v>3830</v>
      </c>
      <c r="H177">
        <v>4895</v>
      </c>
      <c r="I177" t="s">
        <v>429</v>
      </c>
      <c r="AU177"/>
    </row>
    <row r="178" spans="1:47" x14ac:dyDescent="0.25">
      <c r="A178" s="1">
        <v>45717</v>
      </c>
      <c r="B178" s="1">
        <v>45713</v>
      </c>
      <c r="C178" t="s">
        <v>321</v>
      </c>
      <c r="D178" t="s">
        <v>438</v>
      </c>
      <c r="E178">
        <v>1</v>
      </c>
      <c r="F178">
        <v>1751</v>
      </c>
      <c r="G178">
        <v>3818</v>
      </c>
      <c r="H178">
        <v>211.65</v>
      </c>
      <c r="I178" t="s">
        <v>322</v>
      </c>
      <c r="AU178"/>
    </row>
    <row r="179" spans="1:47" x14ac:dyDescent="0.25">
      <c r="A179" s="1">
        <v>45717</v>
      </c>
      <c r="B179" s="1">
        <v>45714</v>
      </c>
      <c r="C179" t="s">
        <v>321</v>
      </c>
      <c r="D179" t="s">
        <v>438</v>
      </c>
      <c r="E179">
        <v>1</v>
      </c>
      <c r="F179">
        <v>131</v>
      </c>
      <c r="G179">
        <v>1982</v>
      </c>
      <c r="H179">
        <v>105.82</v>
      </c>
      <c r="I179" t="s">
        <v>322</v>
      </c>
      <c r="AU179"/>
    </row>
    <row r="180" spans="1:47" x14ac:dyDescent="0.25">
      <c r="A180" s="1">
        <v>45717</v>
      </c>
      <c r="B180" s="1">
        <v>45715</v>
      </c>
      <c r="C180" t="s">
        <v>321</v>
      </c>
      <c r="D180" t="s">
        <v>438</v>
      </c>
      <c r="E180">
        <v>1</v>
      </c>
      <c r="F180">
        <v>632</v>
      </c>
      <c r="G180">
        <v>3830</v>
      </c>
      <c r="H180">
        <v>212</v>
      </c>
      <c r="I180" t="s">
        <v>322</v>
      </c>
      <c r="AU180"/>
    </row>
    <row r="181" spans="1:47" x14ac:dyDescent="0.25">
      <c r="A181" s="1">
        <v>45724</v>
      </c>
      <c r="B181" s="1">
        <v>45719</v>
      </c>
      <c r="C181" t="s">
        <v>321</v>
      </c>
      <c r="D181" t="s">
        <v>438</v>
      </c>
      <c r="E181">
        <v>1</v>
      </c>
      <c r="F181">
        <v>148</v>
      </c>
      <c r="G181">
        <v>3230</v>
      </c>
      <c r="H181">
        <v>211.65</v>
      </c>
      <c r="I181" t="s">
        <v>322</v>
      </c>
      <c r="AU181"/>
    </row>
    <row r="182" spans="1:47" x14ac:dyDescent="0.25">
      <c r="A182" s="1">
        <v>45724</v>
      </c>
      <c r="B182" s="1">
        <v>45720</v>
      </c>
      <c r="C182" t="s">
        <v>321</v>
      </c>
      <c r="D182" t="s">
        <v>438</v>
      </c>
      <c r="E182">
        <v>1</v>
      </c>
      <c r="F182">
        <v>1298</v>
      </c>
      <c r="G182">
        <v>3830</v>
      </c>
      <c r="H182">
        <v>211.65</v>
      </c>
      <c r="I182" t="s">
        <v>322</v>
      </c>
      <c r="AU182"/>
    </row>
    <row r="183" spans="1:47" x14ac:dyDescent="0.25">
      <c r="A183" s="1">
        <v>45724</v>
      </c>
      <c r="B183" s="1">
        <v>45721</v>
      </c>
      <c r="C183" t="s">
        <v>321</v>
      </c>
      <c r="D183" t="s">
        <v>438</v>
      </c>
      <c r="E183">
        <v>1</v>
      </c>
      <c r="F183">
        <v>300</v>
      </c>
      <c r="G183">
        <v>1982</v>
      </c>
      <c r="H183">
        <v>105.82</v>
      </c>
      <c r="I183" t="s">
        <v>322</v>
      </c>
      <c r="AU183"/>
    </row>
    <row r="184" spans="1:47" x14ac:dyDescent="0.25">
      <c r="A184" s="1">
        <v>45717</v>
      </c>
      <c r="B184" s="1">
        <v>45713</v>
      </c>
      <c r="C184" t="s">
        <v>371</v>
      </c>
      <c r="D184" t="s">
        <v>441</v>
      </c>
      <c r="E184">
        <v>1</v>
      </c>
      <c r="F184">
        <v>1420</v>
      </c>
      <c r="G184">
        <v>1982</v>
      </c>
      <c r="H184">
        <v>212.12</v>
      </c>
      <c r="I184" t="s">
        <v>372</v>
      </c>
      <c r="AU184"/>
    </row>
    <row r="185" spans="1:47" x14ac:dyDescent="0.25">
      <c r="A185" s="1">
        <v>45717</v>
      </c>
      <c r="B185" s="1">
        <v>45715</v>
      </c>
      <c r="C185" t="s">
        <v>371</v>
      </c>
      <c r="D185" t="s">
        <v>441</v>
      </c>
      <c r="E185">
        <v>1</v>
      </c>
      <c r="F185">
        <v>1411</v>
      </c>
      <c r="G185">
        <v>1982</v>
      </c>
      <c r="H185">
        <v>212</v>
      </c>
      <c r="I185" t="s">
        <v>372</v>
      </c>
      <c r="AU185"/>
    </row>
    <row r="186" spans="1:47" x14ac:dyDescent="0.25">
      <c r="A186" s="1">
        <v>45717</v>
      </c>
      <c r="B186" s="1">
        <v>45716</v>
      </c>
      <c r="C186" t="s">
        <v>371</v>
      </c>
      <c r="D186" t="s">
        <v>441</v>
      </c>
      <c r="E186">
        <v>1</v>
      </c>
      <c r="F186">
        <v>1045</v>
      </c>
      <c r="G186">
        <v>1982</v>
      </c>
      <c r="H186">
        <v>212.12</v>
      </c>
      <c r="I186" t="s">
        <v>372</v>
      </c>
      <c r="AU186"/>
    </row>
    <row r="187" spans="1:47" x14ac:dyDescent="0.25">
      <c r="A187" s="1">
        <v>45724</v>
      </c>
      <c r="B187" s="1">
        <v>45720</v>
      </c>
      <c r="C187" t="s">
        <v>371</v>
      </c>
      <c r="D187" t="s">
        <v>441</v>
      </c>
      <c r="E187">
        <v>1</v>
      </c>
      <c r="F187">
        <v>1343</v>
      </c>
      <c r="G187">
        <v>1982</v>
      </c>
      <c r="H187">
        <v>212.12</v>
      </c>
      <c r="I187" t="s">
        <v>372</v>
      </c>
      <c r="AU187"/>
    </row>
    <row r="188" spans="1:47" x14ac:dyDescent="0.25">
      <c r="A188" s="1">
        <v>45717</v>
      </c>
      <c r="B188" s="1">
        <v>45713</v>
      </c>
      <c r="C188" t="s">
        <v>433</v>
      </c>
      <c r="D188" t="s">
        <v>439</v>
      </c>
      <c r="E188">
        <v>1</v>
      </c>
      <c r="F188">
        <v>2969</v>
      </c>
      <c r="G188">
        <v>3830</v>
      </c>
      <c r="H188">
        <v>4118.1400000000003</v>
      </c>
      <c r="I188" t="s">
        <v>434</v>
      </c>
      <c r="AU188"/>
    </row>
    <row r="189" spans="1:47" x14ac:dyDescent="0.25">
      <c r="A189" s="1">
        <v>45724</v>
      </c>
      <c r="B189" s="1">
        <v>45720</v>
      </c>
      <c r="C189" t="s">
        <v>433</v>
      </c>
      <c r="D189" t="s">
        <v>439</v>
      </c>
      <c r="E189">
        <v>1</v>
      </c>
      <c r="F189">
        <v>2966</v>
      </c>
      <c r="G189">
        <v>3830</v>
      </c>
      <c r="H189">
        <v>4118.1400000000003</v>
      </c>
      <c r="I189" t="s">
        <v>434</v>
      </c>
      <c r="AU189"/>
    </row>
    <row r="190" spans="1:47" x14ac:dyDescent="0.25">
      <c r="A190" s="1">
        <v>45717</v>
      </c>
      <c r="B190" s="1">
        <v>45716</v>
      </c>
      <c r="C190" t="s">
        <v>157</v>
      </c>
      <c r="D190" t="s">
        <v>441</v>
      </c>
      <c r="E190">
        <v>1</v>
      </c>
      <c r="F190">
        <v>1366</v>
      </c>
      <c r="G190">
        <v>1982</v>
      </c>
      <c r="H190">
        <v>194.22</v>
      </c>
      <c r="I190" t="s">
        <v>158</v>
      </c>
      <c r="AU190"/>
    </row>
    <row r="191" spans="1:47" x14ac:dyDescent="0.25">
      <c r="A191" s="1">
        <v>45717</v>
      </c>
      <c r="B191" s="1">
        <v>45714</v>
      </c>
      <c r="C191" t="s">
        <v>166</v>
      </c>
      <c r="D191" t="s">
        <v>439</v>
      </c>
      <c r="E191">
        <v>1</v>
      </c>
      <c r="F191">
        <v>2921</v>
      </c>
      <c r="G191">
        <v>3818</v>
      </c>
      <c r="H191">
        <v>2729.75</v>
      </c>
      <c r="I191" t="s">
        <v>167</v>
      </c>
      <c r="AU191"/>
    </row>
    <row r="192" spans="1:47" x14ac:dyDescent="0.25">
      <c r="A192" s="1">
        <v>45724</v>
      </c>
      <c r="B192" s="1">
        <v>45719</v>
      </c>
      <c r="C192" t="s">
        <v>179</v>
      </c>
      <c r="D192" t="s">
        <v>438</v>
      </c>
      <c r="E192">
        <v>1</v>
      </c>
      <c r="F192">
        <v>1279</v>
      </c>
      <c r="G192">
        <v>3830</v>
      </c>
      <c r="H192">
        <v>184</v>
      </c>
      <c r="I192" t="s">
        <v>180</v>
      </c>
      <c r="AU192"/>
    </row>
    <row r="193" spans="1:47" x14ac:dyDescent="0.25">
      <c r="A193" s="1">
        <v>45724</v>
      </c>
      <c r="B193" s="1">
        <v>45720</v>
      </c>
      <c r="C193" t="s">
        <v>179</v>
      </c>
      <c r="D193" t="s">
        <v>438</v>
      </c>
      <c r="E193">
        <v>1</v>
      </c>
      <c r="F193">
        <v>1623</v>
      </c>
      <c r="G193">
        <v>1982</v>
      </c>
      <c r="H193">
        <v>92</v>
      </c>
      <c r="I193" t="s">
        <v>180</v>
      </c>
      <c r="AU193"/>
    </row>
    <row r="194" spans="1:47" x14ac:dyDescent="0.25">
      <c r="A194" s="1">
        <v>45724</v>
      </c>
      <c r="B194" s="1">
        <v>45719</v>
      </c>
      <c r="C194" t="s">
        <v>206</v>
      </c>
      <c r="D194" t="s">
        <v>440</v>
      </c>
      <c r="E194">
        <v>1</v>
      </c>
      <c r="F194">
        <v>1473</v>
      </c>
      <c r="G194">
        <v>3230</v>
      </c>
      <c r="H194">
        <v>1272.69</v>
      </c>
      <c r="I194" t="s">
        <v>207</v>
      </c>
      <c r="AU194"/>
    </row>
    <row r="195" spans="1:47" x14ac:dyDescent="0.25">
      <c r="A195" s="1">
        <v>45717</v>
      </c>
      <c r="B195" s="1">
        <v>45716</v>
      </c>
      <c r="C195" t="s">
        <v>415</v>
      </c>
      <c r="D195" t="s">
        <v>440</v>
      </c>
      <c r="E195">
        <v>1</v>
      </c>
      <c r="F195">
        <v>112</v>
      </c>
      <c r="G195">
        <v>3230</v>
      </c>
      <c r="H195">
        <v>221.85</v>
      </c>
      <c r="I195" t="s">
        <v>416</v>
      </c>
      <c r="AU195"/>
    </row>
    <row r="196" spans="1:47" x14ac:dyDescent="0.25">
      <c r="A196" s="1">
        <v>45724</v>
      </c>
      <c r="B196" s="1">
        <v>45721</v>
      </c>
      <c r="C196" t="s">
        <v>319</v>
      </c>
      <c r="D196" t="s">
        <v>438</v>
      </c>
      <c r="E196">
        <v>1</v>
      </c>
      <c r="F196">
        <v>1241</v>
      </c>
      <c r="G196">
        <v>3830</v>
      </c>
      <c r="H196">
        <v>589</v>
      </c>
      <c r="I196" t="s">
        <v>320</v>
      </c>
      <c r="AU196"/>
    </row>
    <row r="197" spans="1:47" x14ac:dyDescent="0.25">
      <c r="A197" s="1">
        <v>45724</v>
      </c>
      <c r="B197" s="1">
        <v>45719</v>
      </c>
      <c r="C197" t="s">
        <v>375</v>
      </c>
      <c r="D197" t="s">
        <v>438</v>
      </c>
      <c r="E197">
        <v>1</v>
      </c>
      <c r="F197">
        <v>1550</v>
      </c>
      <c r="G197">
        <v>1982</v>
      </c>
      <c r="H197">
        <v>100.72</v>
      </c>
      <c r="I197" t="s">
        <v>376</v>
      </c>
      <c r="AU197"/>
    </row>
    <row r="198" spans="1:47" x14ac:dyDescent="0.25">
      <c r="A198" s="1">
        <v>45724</v>
      </c>
      <c r="B198" s="1">
        <v>45721</v>
      </c>
      <c r="C198" t="s">
        <v>349</v>
      </c>
      <c r="D198" t="s">
        <v>437</v>
      </c>
      <c r="E198">
        <v>2</v>
      </c>
      <c r="F198">
        <v>3642</v>
      </c>
      <c r="G198">
        <v>5800</v>
      </c>
      <c r="H198">
        <v>539.69000000000005</v>
      </c>
      <c r="I198" t="s">
        <v>350</v>
      </c>
      <c r="AU198"/>
    </row>
    <row r="199" spans="1:47" x14ac:dyDescent="0.25">
      <c r="A199" s="1">
        <v>45724</v>
      </c>
      <c r="B199" s="1">
        <v>45721</v>
      </c>
      <c r="C199" t="s">
        <v>349</v>
      </c>
      <c r="D199" t="s">
        <v>437</v>
      </c>
      <c r="E199">
        <v>2</v>
      </c>
      <c r="F199">
        <v>3642</v>
      </c>
      <c r="G199">
        <v>5800</v>
      </c>
      <c r="H199">
        <v>539.69000000000005</v>
      </c>
      <c r="I199" t="s">
        <v>350</v>
      </c>
      <c r="AU199"/>
    </row>
    <row r="200" spans="1:47" x14ac:dyDescent="0.25">
      <c r="A200" s="1">
        <v>45724</v>
      </c>
      <c r="B200" s="1">
        <v>45721</v>
      </c>
      <c r="C200" t="s">
        <v>216</v>
      </c>
      <c r="D200" t="s">
        <v>440</v>
      </c>
      <c r="E200">
        <v>1</v>
      </c>
      <c r="F200">
        <v>2479</v>
      </c>
      <c r="G200">
        <v>3818</v>
      </c>
      <c r="H200">
        <v>214.2</v>
      </c>
      <c r="I200" t="s">
        <v>217</v>
      </c>
      <c r="AU200"/>
    </row>
    <row r="201" spans="1:47" x14ac:dyDescent="0.25">
      <c r="A201" s="1">
        <v>45724</v>
      </c>
      <c r="B201" s="1">
        <v>45721</v>
      </c>
      <c r="C201" t="s">
        <v>428</v>
      </c>
      <c r="D201" t="s">
        <v>441</v>
      </c>
      <c r="E201">
        <v>1</v>
      </c>
      <c r="F201">
        <v>2834</v>
      </c>
      <c r="G201">
        <v>3830</v>
      </c>
      <c r="H201">
        <v>4118.1400000000003</v>
      </c>
      <c r="I201" t="s">
        <v>429</v>
      </c>
      <c r="AU201"/>
    </row>
    <row r="202" spans="1:47" x14ac:dyDescent="0.25">
      <c r="A202" s="1">
        <v>45724</v>
      </c>
      <c r="B202" s="1">
        <v>45721</v>
      </c>
      <c r="C202" t="s">
        <v>332</v>
      </c>
      <c r="D202" t="s">
        <v>439</v>
      </c>
      <c r="E202">
        <v>1</v>
      </c>
      <c r="F202">
        <v>2848</v>
      </c>
      <c r="G202">
        <v>3830</v>
      </c>
      <c r="H202">
        <v>1501.81</v>
      </c>
      <c r="I202" t="s">
        <v>333</v>
      </c>
      <c r="AU202"/>
    </row>
    <row r="203" spans="1:47" x14ac:dyDescent="0.25">
      <c r="A203" s="1">
        <v>45724</v>
      </c>
      <c r="B203" s="1">
        <v>45721</v>
      </c>
      <c r="C203" t="s">
        <v>98</v>
      </c>
      <c r="D203" t="s">
        <v>441</v>
      </c>
      <c r="E203">
        <v>2</v>
      </c>
      <c r="F203">
        <v>4370</v>
      </c>
      <c r="G203">
        <v>5812</v>
      </c>
      <c r="H203">
        <v>1978.85</v>
      </c>
      <c r="I203" t="s">
        <v>99</v>
      </c>
      <c r="AU203"/>
    </row>
    <row r="204" spans="1:47" x14ac:dyDescent="0.25">
      <c r="A204" s="1">
        <v>45724</v>
      </c>
      <c r="B204" s="1">
        <v>45721</v>
      </c>
      <c r="C204" t="s">
        <v>98</v>
      </c>
      <c r="D204" t="s">
        <v>441</v>
      </c>
      <c r="E204">
        <v>2</v>
      </c>
      <c r="F204">
        <v>4370</v>
      </c>
      <c r="G204">
        <v>5812</v>
      </c>
      <c r="H204">
        <v>1978.85</v>
      </c>
      <c r="I204" t="s">
        <v>99</v>
      </c>
      <c r="AU204"/>
    </row>
    <row r="205" spans="1:47" x14ac:dyDescent="0.25">
      <c r="A205" s="1">
        <v>45724</v>
      </c>
      <c r="B205" s="1">
        <v>45721</v>
      </c>
      <c r="C205" t="s">
        <v>98</v>
      </c>
      <c r="D205" t="s">
        <v>441</v>
      </c>
      <c r="E205">
        <v>2</v>
      </c>
      <c r="F205">
        <v>4370</v>
      </c>
      <c r="G205">
        <v>5812</v>
      </c>
      <c r="H205">
        <v>1978.85</v>
      </c>
      <c r="I205" t="s">
        <v>99</v>
      </c>
      <c r="AU205"/>
    </row>
    <row r="206" spans="1:47" x14ac:dyDescent="0.25">
      <c r="A206" s="1">
        <v>45724</v>
      </c>
      <c r="B206" s="1">
        <v>45721</v>
      </c>
      <c r="C206" t="s">
        <v>181</v>
      </c>
      <c r="D206" t="s">
        <v>439</v>
      </c>
      <c r="E206">
        <v>1</v>
      </c>
      <c r="F206">
        <v>2923</v>
      </c>
      <c r="G206">
        <v>3818</v>
      </c>
      <c r="H206">
        <v>1800.93</v>
      </c>
      <c r="I206" t="s">
        <v>182</v>
      </c>
      <c r="AU206"/>
    </row>
    <row r="207" spans="1:47" x14ac:dyDescent="0.25">
      <c r="A207" s="1">
        <v>45724</v>
      </c>
      <c r="B207" s="1">
        <v>45721</v>
      </c>
      <c r="C207" t="s">
        <v>141</v>
      </c>
      <c r="D207" t="s">
        <v>438</v>
      </c>
      <c r="E207">
        <v>2</v>
      </c>
      <c r="F207">
        <v>5965</v>
      </c>
      <c r="G207">
        <v>7648</v>
      </c>
      <c r="H207">
        <v>365.16</v>
      </c>
      <c r="I207" t="s">
        <v>142</v>
      </c>
      <c r="AU207"/>
    </row>
    <row r="208" spans="1:47" x14ac:dyDescent="0.25">
      <c r="A208" s="1">
        <v>45724</v>
      </c>
      <c r="B208" s="1">
        <v>45721</v>
      </c>
      <c r="C208" t="s">
        <v>141</v>
      </c>
      <c r="D208" t="s">
        <v>438</v>
      </c>
      <c r="E208">
        <v>2</v>
      </c>
      <c r="F208">
        <v>5965</v>
      </c>
      <c r="G208">
        <v>7648</v>
      </c>
      <c r="H208">
        <v>365.16</v>
      </c>
      <c r="I208" t="s">
        <v>142</v>
      </c>
      <c r="AU208"/>
    </row>
    <row r="209" spans="1:9" x14ac:dyDescent="0.25">
      <c r="A209" s="1">
        <v>45724</v>
      </c>
      <c r="B209" s="1">
        <v>45722</v>
      </c>
      <c r="C209" t="s">
        <v>94</v>
      </c>
      <c r="D209" t="s">
        <v>439</v>
      </c>
      <c r="E209">
        <v>1</v>
      </c>
      <c r="F209">
        <v>2922</v>
      </c>
      <c r="G209">
        <v>3830</v>
      </c>
      <c r="H209">
        <v>332.94</v>
      </c>
      <c r="I209"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B3FA-E23A-4A09-9AA7-A97DD40A07EC}">
  <dimension ref="A3:L112"/>
  <sheetViews>
    <sheetView topLeftCell="A64" zoomScale="70" zoomScaleNormal="70" workbookViewId="0">
      <selection activeCell="D116" sqref="D116"/>
    </sheetView>
  </sheetViews>
  <sheetFormatPr defaultRowHeight="15" x14ac:dyDescent="0.25"/>
  <cols>
    <col min="1" max="1" width="17.85546875" bestFit="1" customWidth="1"/>
    <col min="2" max="2" width="32.42578125" bestFit="1" customWidth="1"/>
    <col min="3" max="3" width="28.5703125" bestFit="1" customWidth="1"/>
    <col min="4" max="4" width="28.28515625" style="7" bestFit="1" customWidth="1"/>
    <col min="5" max="5" width="24.5703125" bestFit="1" customWidth="1"/>
    <col min="8" max="8" width="17.85546875" bestFit="1" customWidth="1"/>
    <col min="9" max="9" width="32.42578125" bestFit="1" customWidth="1"/>
    <col min="10" max="10" width="28.5703125" bestFit="1" customWidth="1"/>
    <col min="11" max="11" width="28.28515625" bestFit="1" customWidth="1"/>
    <col min="12" max="12" width="24.5703125" bestFit="1" customWidth="1"/>
    <col min="14" max="14" width="17.85546875" bestFit="1" customWidth="1"/>
    <col min="15" max="15" width="28.28515625" bestFit="1" customWidth="1"/>
    <col min="16" max="17" width="24.5703125" bestFit="1" customWidth="1"/>
  </cols>
  <sheetData>
    <row r="3" spans="1:12" x14ac:dyDescent="0.25">
      <c r="A3" s="9" t="s">
        <v>462</v>
      </c>
      <c r="H3" s="9" t="s">
        <v>462</v>
      </c>
    </row>
    <row r="4" spans="1:12" x14ac:dyDescent="0.25">
      <c r="A4" s="14">
        <v>45717</v>
      </c>
      <c r="H4" s="14">
        <v>45715</v>
      </c>
    </row>
    <row r="5" spans="1:12" x14ac:dyDescent="0.25">
      <c r="A5" s="14" t="s">
        <v>463</v>
      </c>
      <c r="H5" s="14" t="s">
        <v>463</v>
      </c>
    </row>
    <row r="8" spans="1:12" x14ac:dyDescent="0.25">
      <c r="A8" s="9" t="s">
        <v>462</v>
      </c>
      <c r="B8" t="s">
        <v>464</v>
      </c>
      <c r="C8" t="s">
        <v>465</v>
      </c>
      <c r="D8" s="8" t="s">
        <v>467</v>
      </c>
      <c r="E8" t="s">
        <v>466</v>
      </c>
      <c r="H8" s="9" t="s">
        <v>462</v>
      </c>
      <c r="I8" t="s">
        <v>464</v>
      </c>
      <c r="J8" t="s">
        <v>465</v>
      </c>
      <c r="K8" s="8" t="s">
        <v>467</v>
      </c>
      <c r="L8" t="s">
        <v>466</v>
      </c>
    </row>
    <row r="9" spans="1:12" x14ac:dyDescent="0.25">
      <c r="A9" s="11" t="s">
        <v>67</v>
      </c>
      <c r="B9" s="45">
        <v>3288</v>
      </c>
      <c r="C9" s="45">
        <v>3830</v>
      </c>
      <c r="D9" s="8">
        <v>0.85848563968668412</v>
      </c>
      <c r="E9" s="45">
        <v>26</v>
      </c>
      <c r="H9" s="11" t="s">
        <v>249</v>
      </c>
      <c r="I9" s="45">
        <v>3264</v>
      </c>
      <c r="J9" s="45">
        <v>3818</v>
      </c>
      <c r="K9" s="8">
        <v>0.85489785227867998</v>
      </c>
      <c r="L9" s="45">
        <v>4645.13</v>
      </c>
    </row>
    <row r="10" spans="1:12" x14ac:dyDescent="0.25">
      <c r="A10" s="11" t="s">
        <v>143</v>
      </c>
      <c r="B10" s="45">
        <v>3216</v>
      </c>
      <c r="C10" s="45">
        <v>3830</v>
      </c>
      <c r="D10" s="8">
        <v>0.83968668407310709</v>
      </c>
      <c r="E10" s="45">
        <v>1172.45</v>
      </c>
      <c r="H10" s="11" t="s">
        <v>332</v>
      </c>
      <c r="I10" s="45">
        <v>3228</v>
      </c>
      <c r="J10" s="45">
        <v>3830</v>
      </c>
      <c r="K10" s="8">
        <v>0.84281984334203652</v>
      </c>
      <c r="L10" s="45">
        <v>1501.81</v>
      </c>
    </row>
    <row r="11" spans="1:12" x14ac:dyDescent="0.25">
      <c r="A11" s="11" t="s">
        <v>249</v>
      </c>
      <c r="B11" s="45">
        <v>16006</v>
      </c>
      <c r="C11" s="45">
        <v>19138</v>
      </c>
      <c r="D11" s="8">
        <v>0.83634653568815964</v>
      </c>
      <c r="E11" s="45">
        <v>21120.729999999996</v>
      </c>
      <c r="H11" s="11" t="s">
        <v>94</v>
      </c>
      <c r="I11" s="45">
        <v>3129</v>
      </c>
      <c r="J11" s="45">
        <v>3818</v>
      </c>
      <c r="K11" s="8">
        <v>0.81953902566788894</v>
      </c>
      <c r="L11" s="45">
        <v>332.94</v>
      </c>
    </row>
    <row r="12" spans="1:12" x14ac:dyDescent="0.25">
      <c r="A12" s="11" t="s">
        <v>332</v>
      </c>
      <c r="B12" s="45">
        <v>17330</v>
      </c>
      <c r="C12" s="45">
        <v>21132</v>
      </c>
      <c r="D12" s="8">
        <v>0.82008328601173575</v>
      </c>
      <c r="E12" s="45">
        <v>8017.85</v>
      </c>
      <c r="H12" s="11" t="s">
        <v>247</v>
      </c>
      <c r="I12" s="45">
        <v>1506</v>
      </c>
      <c r="J12" s="45">
        <v>1982</v>
      </c>
      <c r="K12" s="8">
        <v>0.75983854692230068</v>
      </c>
      <c r="L12" s="45">
        <v>109.19</v>
      </c>
    </row>
    <row r="13" spans="1:12" x14ac:dyDescent="0.25">
      <c r="A13" s="11" t="s">
        <v>428</v>
      </c>
      <c r="B13" s="45">
        <v>11974</v>
      </c>
      <c r="C13" s="45">
        <v>15284</v>
      </c>
      <c r="D13" s="8">
        <v>0.78343365611096571</v>
      </c>
      <c r="E13" s="45">
        <v>17249.890000000003</v>
      </c>
      <c r="H13" s="11" t="s">
        <v>428</v>
      </c>
      <c r="I13" s="45">
        <v>2893</v>
      </c>
      <c r="J13" s="45">
        <v>3818</v>
      </c>
      <c r="K13" s="8">
        <v>0.75772655840754322</v>
      </c>
      <c r="L13" s="45">
        <v>4118.1400000000003</v>
      </c>
    </row>
    <row r="14" spans="1:12" x14ac:dyDescent="0.25">
      <c r="A14" s="11" t="s">
        <v>463</v>
      </c>
      <c r="B14" s="45">
        <v>51814</v>
      </c>
      <c r="C14" s="45">
        <v>63214</v>
      </c>
      <c r="D14" s="8">
        <v>0.81966020185401967</v>
      </c>
      <c r="E14" s="45">
        <v>47586.92</v>
      </c>
      <c r="H14" s="11" t="s">
        <v>463</v>
      </c>
      <c r="I14" s="45">
        <v>14020</v>
      </c>
      <c r="J14" s="45">
        <v>17266</v>
      </c>
      <c r="K14" s="8">
        <v>0.81200046333835285</v>
      </c>
      <c r="L14" s="45">
        <v>10707.21</v>
      </c>
    </row>
    <row r="15" spans="1:12" x14ac:dyDescent="0.25">
      <c r="D15"/>
    </row>
    <row r="16" spans="1:12" x14ac:dyDescent="0.25">
      <c r="D16"/>
    </row>
    <row r="17" spans="1:12" x14ac:dyDescent="0.25">
      <c r="A17" s="9" t="s">
        <v>462</v>
      </c>
      <c r="B17" t="s">
        <v>464</v>
      </c>
      <c r="C17" t="s">
        <v>465</v>
      </c>
      <c r="D17" s="8" t="s">
        <v>467</v>
      </c>
      <c r="E17" t="s">
        <v>466</v>
      </c>
      <c r="H17" s="9" t="s">
        <v>462</v>
      </c>
      <c r="I17" t="s">
        <v>464</v>
      </c>
      <c r="J17" t="s">
        <v>465</v>
      </c>
      <c r="K17" s="8" t="s">
        <v>467</v>
      </c>
      <c r="L17" t="s">
        <v>466</v>
      </c>
    </row>
    <row r="18" spans="1:12" x14ac:dyDescent="0.25">
      <c r="A18" s="11" t="s">
        <v>415</v>
      </c>
      <c r="B18" s="45">
        <v>112</v>
      </c>
      <c r="C18" s="45">
        <v>3230</v>
      </c>
      <c r="D18" s="8">
        <v>3.4674922600619197E-2</v>
      </c>
      <c r="E18" s="45">
        <v>221.85</v>
      </c>
      <c r="H18" s="11" t="s">
        <v>321</v>
      </c>
      <c r="I18" s="45">
        <v>632</v>
      </c>
      <c r="J18" s="45">
        <v>3830</v>
      </c>
      <c r="K18" s="8">
        <v>0.16501305483028719</v>
      </c>
      <c r="L18" s="45">
        <v>212</v>
      </c>
    </row>
    <row r="19" spans="1:12" x14ac:dyDescent="0.25">
      <c r="A19" s="11" t="s">
        <v>328</v>
      </c>
      <c r="B19" s="45">
        <v>578</v>
      </c>
      <c r="C19" s="45">
        <v>3964</v>
      </c>
      <c r="D19" s="8">
        <v>0.14581231079717458</v>
      </c>
      <c r="E19" s="45">
        <v>1201.54</v>
      </c>
      <c r="H19" s="11" t="s">
        <v>138</v>
      </c>
      <c r="I19" s="45">
        <v>790</v>
      </c>
      <c r="J19" s="45">
        <v>3830</v>
      </c>
      <c r="K19" s="8">
        <v>0.20626631853785901</v>
      </c>
      <c r="L19" s="45">
        <v>182.58</v>
      </c>
    </row>
    <row r="20" spans="1:12" x14ac:dyDescent="0.25">
      <c r="A20" s="11" t="s">
        <v>321</v>
      </c>
      <c r="B20" s="45">
        <v>2514</v>
      </c>
      <c r="C20" s="45">
        <v>9630</v>
      </c>
      <c r="D20" s="8">
        <v>0.26105919003115263</v>
      </c>
      <c r="E20" s="45">
        <v>529.47</v>
      </c>
      <c r="H20" s="11" t="s">
        <v>216</v>
      </c>
      <c r="I20" s="45">
        <v>968</v>
      </c>
      <c r="J20" s="45">
        <v>3818</v>
      </c>
      <c r="K20" s="8">
        <v>0.25353588266107913</v>
      </c>
      <c r="L20" s="45">
        <v>214.2</v>
      </c>
    </row>
    <row r="21" spans="1:12" x14ac:dyDescent="0.25">
      <c r="A21" s="11" t="s">
        <v>102</v>
      </c>
      <c r="B21" s="45">
        <v>1021</v>
      </c>
      <c r="C21" s="45">
        <v>3230</v>
      </c>
      <c r="D21" s="8">
        <v>0.31609907120743036</v>
      </c>
      <c r="E21" s="45">
        <v>560.27</v>
      </c>
      <c r="H21" s="11" t="s">
        <v>208</v>
      </c>
      <c r="I21" s="45">
        <v>2079</v>
      </c>
      <c r="J21" s="45">
        <v>3450</v>
      </c>
      <c r="K21" s="8">
        <v>0.6026086956521739</v>
      </c>
      <c r="L21" s="45">
        <v>184.37</v>
      </c>
    </row>
    <row r="22" spans="1:12" x14ac:dyDescent="0.25">
      <c r="A22" s="11" t="s">
        <v>295</v>
      </c>
      <c r="B22" s="45">
        <v>1246</v>
      </c>
      <c r="C22" s="45">
        <v>3830</v>
      </c>
      <c r="D22" s="8">
        <v>0.32532637075718018</v>
      </c>
      <c r="E22" s="45">
        <v>216.75</v>
      </c>
      <c r="H22" s="11" t="s">
        <v>71</v>
      </c>
      <c r="I22" s="45">
        <v>5128</v>
      </c>
      <c r="J22" s="45">
        <v>7660</v>
      </c>
      <c r="K22" s="8">
        <v>0.66945169712793728</v>
      </c>
      <c r="L22" s="45">
        <v>408</v>
      </c>
    </row>
    <row r="23" spans="1:12" x14ac:dyDescent="0.25">
      <c r="A23" s="11" t="s">
        <v>463</v>
      </c>
      <c r="B23" s="45">
        <v>5471</v>
      </c>
      <c r="C23" s="45">
        <v>23884</v>
      </c>
      <c r="D23" s="8">
        <v>0.22906548316864847</v>
      </c>
      <c r="E23" s="45">
        <v>2729.88</v>
      </c>
      <c r="H23" s="11" t="s">
        <v>463</v>
      </c>
      <c r="I23" s="45">
        <v>9597</v>
      </c>
      <c r="J23" s="45">
        <v>22588</v>
      </c>
      <c r="K23" s="8">
        <v>0.42487161324597134</v>
      </c>
      <c r="L23" s="45">
        <v>1201.1500000000001</v>
      </c>
    </row>
    <row r="24" spans="1:12" x14ac:dyDescent="0.25">
      <c r="D24"/>
    </row>
    <row r="25" spans="1:12" x14ac:dyDescent="0.25">
      <c r="D25"/>
    </row>
    <row r="26" spans="1:12" x14ac:dyDescent="0.25">
      <c r="A26" s="9" t="s">
        <v>462</v>
      </c>
      <c r="B26" s="8" t="s">
        <v>467</v>
      </c>
      <c r="C26" t="s">
        <v>466</v>
      </c>
      <c r="D26" t="s">
        <v>468</v>
      </c>
      <c r="H26" s="9" t="s">
        <v>462</v>
      </c>
      <c r="I26" s="8" t="s">
        <v>467</v>
      </c>
      <c r="J26" t="s">
        <v>466</v>
      </c>
      <c r="K26" t="s">
        <v>468</v>
      </c>
    </row>
    <row r="27" spans="1:12" x14ac:dyDescent="0.25">
      <c r="A27" s="11" t="s">
        <v>441</v>
      </c>
      <c r="B27" s="8">
        <v>0.71329116160723749</v>
      </c>
      <c r="C27" s="45">
        <v>70490.01999999999</v>
      </c>
      <c r="D27" s="45">
        <v>55</v>
      </c>
      <c r="H27" s="11" t="s">
        <v>439</v>
      </c>
      <c r="I27" s="8">
        <v>0.74872620005363366</v>
      </c>
      <c r="J27" s="45">
        <v>3745.93</v>
      </c>
      <c r="K27" s="45">
        <v>4</v>
      </c>
    </row>
    <row r="28" spans="1:12" x14ac:dyDescent="0.25">
      <c r="A28" s="11" t="s">
        <v>439</v>
      </c>
      <c r="B28" s="8">
        <v>0.68727220572354208</v>
      </c>
      <c r="C28" s="45">
        <v>32751.340000000004</v>
      </c>
      <c r="D28" s="45">
        <v>34</v>
      </c>
      <c r="H28" s="11" t="s">
        <v>441</v>
      </c>
      <c r="I28" s="8">
        <v>0.73769151316922021</v>
      </c>
      <c r="J28" s="45">
        <v>10267.14</v>
      </c>
      <c r="K28" s="45">
        <v>8</v>
      </c>
    </row>
    <row r="29" spans="1:12" x14ac:dyDescent="0.25">
      <c r="A29" s="11" t="s">
        <v>438</v>
      </c>
      <c r="B29" s="8">
        <v>0.66409980496334653</v>
      </c>
      <c r="C29" s="45">
        <v>6544.8999999999987</v>
      </c>
      <c r="D29" s="45">
        <v>27</v>
      </c>
      <c r="H29" s="11" t="s">
        <v>437</v>
      </c>
      <c r="I29" s="8">
        <v>0.64681377335155898</v>
      </c>
      <c r="J29" s="45">
        <v>3525.0200000000004</v>
      </c>
      <c r="K29" s="45">
        <v>9</v>
      </c>
    </row>
    <row r="30" spans="1:12" x14ac:dyDescent="0.25">
      <c r="A30" s="11" t="s">
        <v>437</v>
      </c>
      <c r="B30" s="8">
        <v>0.63246422108899492</v>
      </c>
      <c r="C30" s="45">
        <v>20490.190000000006</v>
      </c>
      <c r="D30" s="45">
        <v>42</v>
      </c>
      <c r="H30" s="11" t="s">
        <v>438</v>
      </c>
      <c r="I30" s="8">
        <v>0.58862826603325413</v>
      </c>
      <c r="J30" s="45">
        <v>687.19</v>
      </c>
      <c r="K30" s="45">
        <v>4</v>
      </c>
    </row>
    <row r="31" spans="1:12" x14ac:dyDescent="0.25">
      <c r="A31" s="11" t="s">
        <v>440</v>
      </c>
      <c r="B31" s="8">
        <v>0.56458151937309531</v>
      </c>
      <c r="C31" s="45">
        <v>26018.42</v>
      </c>
      <c r="D31" s="45">
        <v>20</v>
      </c>
      <c r="H31" s="11" t="s">
        <v>440</v>
      </c>
      <c r="I31" s="8">
        <v>0.55421686746987953</v>
      </c>
      <c r="J31" s="45">
        <v>4859.33</v>
      </c>
      <c r="K31" s="45">
        <v>2</v>
      </c>
    </row>
    <row r="32" spans="1:12" x14ac:dyDescent="0.25">
      <c r="A32" s="11" t="s">
        <v>463</v>
      </c>
      <c r="B32" s="8">
        <v>0.66270580509411581</v>
      </c>
      <c r="C32" s="45">
        <v>156294.87</v>
      </c>
      <c r="D32" s="45">
        <v>178</v>
      </c>
      <c r="H32" s="11" t="s">
        <v>463</v>
      </c>
      <c r="I32" s="8">
        <v>0.67060431622696859</v>
      </c>
      <c r="J32" s="45">
        <v>23084.609999999997</v>
      </c>
      <c r="K32" s="45">
        <v>27</v>
      </c>
    </row>
    <row r="33" spans="1:12" x14ac:dyDescent="0.25">
      <c r="D33"/>
    </row>
    <row r="34" spans="1:12" x14ac:dyDescent="0.25">
      <c r="D34"/>
    </row>
    <row r="35" spans="1:12" x14ac:dyDescent="0.25">
      <c r="A35" s="9" t="s">
        <v>462</v>
      </c>
      <c r="B35" t="s">
        <v>464</v>
      </c>
      <c r="C35" t="s">
        <v>465</v>
      </c>
      <c r="D35" s="8" t="s">
        <v>467</v>
      </c>
      <c r="E35" t="s">
        <v>466</v>
      </c>
      <c r="H35" s="9" t="s">
        <v>462</v>
      </c>
      <c r="I35" t="s">
        <v>464</v>
      </c>
      <c r="J35" t="s">
        <v>465</v>
      </c>
      <c r="K35" s="8" t="s">
        <v>467</v>
      </c>
      <c r="L35" t="s">
        <v>466</v>
      </c>
    </row>
    <row r="36" spans="1:12" x14ac:dyDescent="0.25">
      <c r="A36" s="11" t="s">
        <v>437</v>
      </c>
      <c r="B36" s="45">
        <v>26145</v>
      </c>
      <c r="C36" s="45">
        <v>34410</v>
      </c>
      <c r="D36" s="8">
        <v>0.75980819529206622</v>
      </c>
      <c r="E36" s="45">
        <v>12159.470000000001</v>
      </c>
      <c r="H36" s="11" t="s">
        <v>437</v>
      </c>
      <c r="I36" s="45">
        <v>19084</v>
      </c>
      <c r="J36" s="45">
        <v>26896</v>
      </c>
      <c r="K36" s="8">
        <v>0.70954788816180847</v>
      </c>
      <c r="L36" s="45">
        <v>3342.44</v>
      </c>
    </row>
    <row r="37" spans="1:12" x14ac:dyDescent="0.25">
      <c r="A37" s="10" t="s">
        <v>143</v>
      </c>
      <c r="B37" s="45">
        <v>3216</v>
      </c>
      <c r="C37" s="45">
        <v>3830</v>
      </c>
      <c r="D37" s="8">
        <v>0.83968668407310709</v>
      </c>
      <c r="E37" s="45">
        <v>1172.45</v>
      </c>
      <c r="H37" s="10" t="s">
        <v>220</v>
      </c>
      <c r="I37" s="45">
        <v>5608</v>
      </c>
      <c r="J37" s="45">
        <v>7636</v>
      </c>
      <c r="K37" s="8">
        <v>0.73441592456783655</v>
      </c>
      <c r="L37" s="45">
        <v>1854.44</v>
      </c>
    </row>
    <row r="38" spans="1:12" x14ac:dyDescent="0.25">
      <c r="A38" s="10" t="s">
        <v>220</v>
      </c>
      <c r="B38" s="45">
        <v>17280</v>
      </c>
      <c r="C38" s="45">
        <v>22932</v>
      </c>
      <c r="D38" s="8">
        <v>0.75353218210361073</v>
      </c>
      <c r="E38" s="45">
        <v>5563.3200000000006</v>
      </c>
      <c r="H38" s="10" t="s">
        <v>349</v>
      </c>
      <c r="I38" s="45">
        <v>8348</v>
      </c>
      <c r="J38" s="45">
        <v>11600</v>
      </c>
      <c r="K38" s="8">
        <v>0.71965517241379307</v>
      </c>
      <c r="L38" s="45">
        <v>1080</v>
      </c>
    </row>
    <row r="39" spans="1:12" x14ac:dyDescent="0.25">
      <c r="A39" s="10" t="s">
        <v>164</v>
      </c>
      <c r="B39" s="45">
        <v>5649</v>
      </c>
      <c r="C39" s="45">
        <v>7648</v>
      </c>
      <c r="D39" s="8">
        <v>0.73862447698744771</v>
      </c>
      <c r="E39" s="45">
        <v>5423.7</v>
      </c>
      <c r="H39" s="10" t="s">
        <v>71</v>
      </c>
      <c r="I39" s="45">
        <v>5128</v>
      </c>
      <c r="J39" s="45">
        <v>7660</v>
      </c>
      <c r="K39" s="8">
        <v>0.66945169712793728</v>
      </c>
      <c r="L39" s="45">
        <v>408</v>
      </c>
    </row>
    <row r="40" spans="1:12" x14ac:dyDescent="0.25">
      <c r="A40" s="11" t="s">
        <v>438</v>
      </c>
      <c r="B40" s="45">
        <v>52608</v>
      </c>
      <c r="C40" s="45">
        <v>69808</v>
      </c>
      <c r="D40" s="8">
        <v>0.75360990144396056</v>
      </c>
      <c r="E40" s="45">
        <v>3458.6</v>
      </c>
      <c r="H40" s="11" t="s">
        <v>463</v>
      </c>
      <c r="I40" s="45">
        <v>19084</v>
      </c>
      <c r="J40" s="45">
        <v>26896</v>
      </c>
      <c r="K40" s="8">
        <v>0.70954788816180847</v>
      </c>
      <c r="L40" s="45">
        <v>3342.44</v>
      </c>
    </row>
    <row r="41" spans="1:12" x14ac:dyDescent="0.25">
      <c r="A41" s="10" t="s">
        <v>141</v>
      </c>
      <c r="B41" s="45">
        <v>46036</v>
      </c>
      <c r="C41" s="45">
        <v>60032</v>
      </c>
      <c r="D41" s="8">
        <v>0.76685767590618337</v>
      </c>
      <c r="E41" s="45">
        <v>2922.12</v>
      </c>
    </row>
    <row r="42" spans="1:12" x14ac:dyDescent="0.25">
      <c r="A42" s="10" t="s">
        <v>283</v>
      </c>
      <c r="B42" s="45">
        <v>2663</v>
      </c>
      <c r="C42" s="45">
        <v>3830</v>
      </c>
      <c r="D42" s="8">
        <v>0.6953002610966057</v>
      </c>
      <c r="E42" s="45">
        <v>209.1</v>
      </c>
    </row>
    <row r="43" spans="1:12" x14ac:dyDescent="0.25">
      <c r="A43" s="10" t="s">
        <v>247</v>
      </c>
      <c r="B43" s="45">
        <v>3909</v>
      </c>
      <c r="C43" s="45">
        <v>5946</v>
      </c>
      <c r="D43" s="8">
        <v>0.65741675075681127</v>
      </c>
      <c r="E43" s="45">
        <v>327.38</v>
      </c>
      <c r="H43" s="9" t="s">
        <v>462</v>
      </c>
      <c r="I43" t="s">
        <v>464</v>
      </c>
      <c r="J43" t="s">
        <v>465</v>
      </c>
      <c r="K43" s="8" t="s">
        <v>467</v>
      </c>
      <c r="L43" t="s">
        <v>466</v>
      </c>
    </row>
    <row r="44" spans="1:12" x14ac:dyDescent="0.25">
      <c r="A44" s="11" t="s">
        <v>439</v>
      </c>
      <c r="B44" s="45">
        <v>41028</v>
      </c>
      <c r="C44" s="45">
        <v>51724</v>
      </c>
      <c r="D44" s="8">
        <v>0.79321011522697393</v>
      </c>
      <c r="E44" s="45">
        <v>25068.07</v>
      </c>
      <c r="H44" s="11" t="s">
        <v>438</v>
      </c>
      <c r="I44" s="45">
        <v>7930</v>
      </c>
      <c r="J44" s="45">
        <v>13472</v>
      </c>
      <c r="K44" s="8">
        <v>0.58862826603325413</v>
      </c>
      <c r="L44" s="45">
        <v>687.19</v>
      </c>
    </row>
    <row r="45" spans="1:12" x14ac:dyDescent="0.25">
      <c r="A45" s="10" t="s">
        <v>332</v>
      </c>
      <c r="B45" s="45">
        <v>17330</v>
      </c>
      <c r="C45" s="45">
        <v>21132</v>
      </c>
      <c r="D45" s="8">
        <v>0.82008328601173575</v>
      </c>
      <c r="E45" s="45">
        <v>8017.85</v>
      </c>
      <c r="H45" s="10" t="s">
        <v>247</v>
      </c>
      <c r="I45" s="45">
        <v>1506</v>
      </c>
      <c r="J45" s="45">
        <v>1982</v>
      </c>
      <c r="K45" s="8">
        <v>0.75983854692230068</v>
      </c>
      <c r="L45" s="45">
        <v>109.19</v>
      </c>
    </row>
    <row r="46" spans="1:12" x14ac:dyDescent="0.25">
      <c r="A46" s="10" t="s">
        <v>433</v>
      </c>
      <c r="B46" s="45">
        <v>2969</v>
      </c>
      <c r="C46" s="45">
        <v>3830</v>
      </c>
      <c r="D46" s="8">
        <v>0.77519582245430807</v>
      </c>
      <c r="E46" s="45">
        <v>4118.1400000000003</v>
      </c>
      <c r="H46" s="10" t="s">
        <v>141</v>
      </c>
      <c r="I46" s="45">
        <v>5792</v>
      </c>
      <c r="J46" s="45">
        <v>7660</v>
      </c>
      <c r="K46" s="8">
        <v>0.7561357702349869</v>
      </c>
      <c r="L46" s="45">
        <v>366</v>
      </c>
    </row>
    <row r="47" spans="1:12" x14ac:dyDescent="0.25">
      <c r="A47" s="10" t="s">
        <v>181</v>
      </c>
      <c r="B47" s="45">
        <v>20729</v>
      </c>
      <c r="C47" s="45">
        <v>26762</v>
      </c>
      <c r="D47" s="8">
        <v>0.77456841790598607</v>
      </c>
      <c r="E47" s="45">
        <v>12932.08</v>
      </c>
      <c r="H47" s="10" t="s">
        <v>321</v>
      </c>
      <c r="I47" s="45">
        <v>632</v>
      </c>
      <c r="J47" s="45">
        <v>3830</v>
      </c>
      <c r="K47" s="8">
        <v>0.16501305483028719</v>
      </c>
      <c r="L47" s="45">
        <v>212</v>
      </c>
    </row>
    <row r="48" spans="1:12" x14ac:dyDescent="0.25">
      <c r="A48" s="11" t="s">
        <v>440</v>
      </c>
      <c r="B48" s="45">
        <v>24558</v>
      </c>
      <c r="C48" s="45">
        <v>30604</v>
      </c>
      <c r="D48" s="8">
        <v>0.80244412495098683</v>
      </c>
      <c r="E48" s="45">
        <v>22408.059999999998</v>
      </c>
      <c r="H48" s="11" t="s">
        <v>463</v>
      </c>
      <c r="I48" s="45">
        <v>7930</v>
      </c>
      <c r="J48" s="45">
        <v>13472</v>
      </c>
      <c r="K48" s="8">
        <v>0.58862826603325413</v>
      </c>
      <c r="L48" s="45">
        <v>687.19</v>
      </c>
    </row>
    <row r="49" spans="1:12" x14ac:dyDescent="0.25">
      <c r="A49" s="10" t="s">
        <v>249</v>
      </c>
      <c r="B49" s="45">
        <v>16006</v>
      </c>
      <c r="C49" s="45">
        <v>19138</v>
      </c>
      <c r="D49" s="8">
        <v>0.83634653568815964</v>
      </c>
      <c r="E49" s="45">
        <v>21120.729999999996</v>
      </c>
    </row>
    <row r="50" spans="1:12" x14ac:dyDescent="0.25">
      <c r="A50" s="10" t="s">
        <v>110</v>
      </c>
      <c r="B50" s="45">
        <v>2940</v>
      </c>
      <c r="C50" s="45">
        <v>3830</v>
      </c>
      <c r="D50" s="8">
        <v>0.76762402088772841</v>
      </c>
      <c r="E50" s="45">
        <v>853.83</v>
      </c>
    </row>
    <row r="51" spans="1:12" x14ac:dyDescent="0.25">
      <c r="A51" s="10" t="s">
        <v>377</v>
      </c>
      <c r="B51" s="45">
        <v>5612</v>
      </c>
      <c r="C51" s="45">
        <v>7636</v>
      </c>
      <c r="D51" s="8">
        <v>0.73493975903614461</v>
      </c>
      <c r="E51" s="45">
        <v>433.5</v>
      </c>
      <c r="H51" s="9" t="s">
        <v>462</v>
      </c>
      <c r="I51" t="s">
        <v>464</v>
      </c>
      <c r="J51" t="s">
        <v>465</v>
      </c>
      <c r="K51" s="8" t="s">
        <v>467</v>
      </c>
      <c r="L51" t="s">
        <v>466</v>
      </c>
    </row>
    <row r="52" spans="1:12" x14ac:dyDescent="0.25">
      <c r="A52" s="11" t="s">
        <v>441</v>
      </c>
      <c r="B52" s="45">
        <v>19652</v>
      </c>
      <c r="C52" s="45">
        <v>24914</v>
      </c>
      <c r="D52" s="8">
        <v>0.78879344946616359</v>
      </c>
      <c r="E52" s="45">
        <v>19646.750000000004</v>
      </c>
      <c r="H52" s="11" t="s">
        <v>439</v>
      </c>
      <c r="I52" s="45">
        <v>9089</v>
      </c>
      <c r="J52" s="45">
        <v>11466</v>
      </c>
      <c r="K52" s="8">
        <v>0.79269143554857846</v>
      </c>
      <c r="L52" s="45">
        <v>3561.56</v>
      </c>
    </row>
    <row r="53" spans="1:12" x14ac:dyDescent="0.25">
      <c r="A53" s="10" t="s">
        <v>67</v>
      </c>
      <c r="B53" s="45">
        <v>3288</v>
      </c>
      <c r="C53" s="45">
        <v>3830</v>
      </c>
      <c r="D53" s="8">
        <v>0.85848563968668412</v>
      </c>
      <c r="E53" s="45">
        <v>26</v>
      </c>
      <c r="H53" s="10" t="s">
        <v>332</v>
      </c>
      <c r="I53" s="45">
        <v>3228</v>
      </c>
      <c r="J53" s="45">
        <v>3830</v>
      </c>
      <c r="K53" s="8">
        <v>0.84281984334203652</v>
      </c>
      <c r="L53" s="45">
        <v>1501.81</v>
      </c>
    </row>
    <row r="54" spans="1:12" x14ac:dyDescent="0.25">
      <c r="A54" s="10" t="s">
        <v>428</v>
      </c>
      <c r="B54" s="45">
        <v>11974</v>
      </c>
      <c r="C54" s="45">
        <v>15284</v>
      </c>
      <c r="D54" s="8">
        <v>0.78343365611096571</v>
      </c>
      <c r="E54" s="45">
        <v>17249.890000000003</v>
      </c>
      <c r="H54" s="10" t="s">
        <v>94</v>
      </c>
      <c r="I54" s="45">
        <v>3129</v>
      </c>
      <c r="J54" s="45">
        <v>3818</v>
      </c>
      <c r="K54" s="8">
        <v>0.81953902566788894</v>
      </c>
      <c r="L54" s="45">
        <v>332.94</v>
      </c>
    </row>
    <row r="55" spans="1:12" x14ac:dyDescent="0.25">
      <c r="A55" s="10" t="s">
        <v>435</v>
      </c>
      <c r="B55" s="45">
        <v>4390</v>
      </c>
      <c r="C55" s="45">
        <v>5800</v>
      </c>
      <c r="D55" s="8">
        <v>0.75689655172413794</v>
      </c>
      <c r="E55" s="45">
        <v>2370.86</v>
      </c>
      <c r="H55" s="10" t="s">
        <v>181</v>
      </c>
      <c r="I55" s="45">
        <v>2732</v>
      </c>
      <c r="J55" s="45">
        <v>3818</v>
      </c>
      <c r="K55" s="8">
        <v>0.71555788370874807</v>
      </c>
      <c r="L55" s="45">
        <v>1726.81</v>
      </c>
    </row>
    <row r="56" spans="1:12" x14ac:dyDescent="0.25">
      <c r="A56" s="11" t="s">
        <v>463</v>
      </c>
      <c r="B56" s="45">
        <v>163991</v>
      </c>
      <c r="C56" s="45">
        <v>211460</v>
      </c>
      <c r="D56" s="8">
        <v>0.77551782843090888</v>
      </c>
      <c r="E56" s="45">
        <v>82740.95</v>
      </c>
      <c r="H56" s="11" t="s">
        <v>463</v>
      </c>
      <c r="I56" s="45">
        <v>9089</v>
      </c>
      <c r="J56" s="45">
        <v>11466</v>
      </c>
      <c r="K56" s="8">
        <v>0.79269143554857846</v>
      </c>
      <c r="L56" s="45">
        <v>3561.56</v>
      </c>
    </row>
    <row r="59" spans="1:12" x14ac:dyDescent="0.25">
      <c r="A59" s="9" t="s">
        <v>462</v>
      </c>
      <c r="B59" t="s">
        <v>464</v>
      </c>
      <c r="C59" t="s">
        <v>465</v>
      </c>
      <c r="D59" s="8" t="s">
        <v>467</v>
      </c>
      <c r="E59" t="s">
        <v>466</v>
      </c>
      <c r="H59" s="9" t="s">
        <v>462</v>
      </c>
      <c r="I59" t="s">
        <v>464</v>
      </c>
      <c r="J59" t="s">
        <v>465</v>
      </c>
      <c r="K59" s="8" t="s">
        <v>467</v>
      </c>
      <c r="L59" t="s">
        <v>466</v>
      </c>
    </row>
    <row r="60" spans="1:12" x14ac:dyDescent="0.25">
      <c r="A60" s="11" t="s">
        <v>437</v>
      </c>
      <c r="B60" s="45">
        <v>66129</v>
      </c>
      <c r="C60" s="45">
        <v>111486</v>
      </c>
      <c r="D60" s="8">
        <v>0.59315967924223667</v>
      </c>
      <c r="E60" s="45">
        <v>8330.7200000000012</v>
      </c>
      <c r="H60" s="11" t="s">
        <v>440</v>
      </c>
      <c r="I60" s="45">
        <v>4232</v>
      </c>
      <c r="J60" s="45">
        <v>7636</v>
      </c>
      <c r="K60" s="8">
        <v>0.55421686746987953</v>
      </c>
      <c r="L60" s="45">
        <v>4859.33</v>
      </c>
    </row>
    <row r="61" spans="1:12" x14ac:dyDescent="0.25">
      <c r="A61" s="10" t="s">
        <v>138</v>
      </c>
      <c r="B61" s="45">
        <v>11233</v>
      </c>
      <c r="C61" s="45">
        <v>22968</v>
      </c>
      <c r="D61" s="8">
        <v>0.48907175200278646</v>
      </c>
      <c r="E61" s="45">
        <v>1095.74</v>
      </c>
      <c r="H61" s="10" t="s">
        <v>249</v>
      </c>
      <c r="I61" s="45">
        <v>3264</v>
      </c>
      <c r="J61" s="45">
        <v>3818</v>
      </c>
      <c r="K61" s="8">
        <v>0.85489785227867998</v>
      </c>
      <c r="L61" s="45">
        <v>4645.13</v>
      </c>
    </row>
    <row r="62" spans="1:12" x14ac:dyDescent="0.25">
      <c r="A62" s="10" t="s">
        <v>349</v>
      </c>
      <c r="B62" s="45">
        <v>38278</v>
      </c>
      <c r="C62" s="45">
        <v>61744</v>
      </c>
      <c r="D62" s="8">
        <v>0.61994687742938581</v>
      </c>
      <c r="E62" s="45">
        <v>5806.9800000000005</v>
      </c>
      <c r="H62" s="10" t="s">
        <v>216</v>
      </c>
      <c r="I62" s="45">
        <v>968</v>
      </c>
      <c r="J62" s="45">
        <v>3818</v>
      </c>
      <c r="K62" s="8">
        <v>0.25353588266107913</v>
      </c>
      <c r="L62" s="45">
        <v>214.2</v>
      </c>
    </row>
    <row r="63" spans="1:12" x14ac:dyDescent="0.25">
      <c r="A63" s="10" t="s">
        <v>71</v>
      </c>
      <c r="B63" s="45">
        <v>16618</v>
      </c>
      <c r="C63" s="45">
        <v>26774</v>
      </c>
      <c r="D63" s="8">
        <v>0.6206767759766938</v>
      </c>
      <c r="E63" s="45">
        <v>1428</v>
      </c>
      <c r="H63" s="11" t="s">
        <v>463</v>
      </c>
      <c r="I63" s="45">
        <v>4232</v>
      </c>
      <c r="J63" s="45">
        <v>7636</v>
      </c>
      <c r="K63" s="8">
        <v>0.55421686746987953</v>
      </c>
      <c r="L63" s="45">
        <v>4859.33</v>
      </c>
    </row>
    <row r="64" spans="1:12" x14ac:dyDescent="0.25">
      <c r="A64" s="11" t="s">
        <v>438</v>
      </c>
      <c r="B64" s="45">
        <v>4238</v>
      </c>
      <c r="C64" s="45">
        <v>15576</v>
      </c>
      <c r="D64" s="8">
        <v>0.27208525937339495</v>
      </c>
      <c r="E64" s="45">
        <v>1822.3</v>
      </c>
    </row>
    <row r="65" spans="1:12" x14ac:dyDescent="0.25">
      <c r="A65" s="10" t="s">
        <v>328</v>
      </c>
      <c r="B65" s="45">
        <v>578</v>
      </c>
      <c r="C65" s="45">
        <v>3964</v>
      </c>
      <c r="D65" s="8">
        <v>0.14581231079717458</v>
      </c>
      <c r="E65" s="45">
        <v>1201.54</v>
      </c>
    </row>
    <row r="66" spans="1:12" x14ac:dyDescent="0.25">
      <c r="A66" s="10" t="s">
        <v>321</v>
      </c>
      <c r="B66" s="45">
        <v>2514</v>
      </c>
      <c r="C66" s="45">
        <v>9630</v>
      </c>
      <c r="D66" s="8">
        <v>0.26105919003115263</v>
      </c>
      <c r="E66" s="45">
        <v>529.47</v>
      </c>
    </row>
    <row r="67" spans="1:12" x14ac:dyDescent="0.25">
      <c r="A67" s="10" t="s">
        <v>145</v>
      </c>
      <c r="B67" s="45">
        <v>1146</v>
      </c>
      <c r="C67" s="45">
        <v>1982</v>
      </c>
      <c r="D67" s="8">
        <v>0.57820383451059532</v>
      </c>
      <c r="E67" s="45">
        <v>91.29</v>
      </c>
      <c r="H67" s="9" t="s">
        <v>462</v>
      </c>
      <c r="I67" t="s">
        <v>464</v>
      </c>
      <c r="J67" t="s">
        <v>465</v>
      </c>
      <c r="K67" s="8" t="s">
        <v>467</v>
      </c>
      <c r="L67" t="s">
        <v>466</v>
      </c>
    </row>
    <row r="68" spans="1:12" x14ac:dyDescent="0.25">
      <c r="A68" s="11" t="s">
        <v>439</v>
      </c>
      <c r="B68" s="45">
        <v>10679</v>
      </c>
      <c r="C68" s="45">
        <v>22514</v>
      </c>
      <c r="D68" s="8">
        <v>0.47432708536910367</v>
      </c>
      <c r="E68" s="45">
        <v>1896.3100000000002</v>
      </c>
      <c r="H68" s="11" t="s">
        <v>441</v>
      </c>
      <c r="I68" s="45">
        <v>17141</v>
      </c>
      <c r="J68" s="45">
        <v>23236</v>
      </c>
      <c r="K68" s="8">
        <v>0.73769151316922021</v>
      </c>
      <c r="L68" s="45">
        <v>10267.14</v>
      </c>
    </row>
    <row r="69" spans="1:12" x14ac:dyDescent="0.25">
      <c r="A69" s="10" t="s">
        <v>199</v>
      </c>
      <c r="B69" s="45">
        <v>1695</v>
      </c>
      <c r="C69" s="45">
        <v>3964</v>
      </c>
      <c r="D69" s="8">
        <v>0.42759838546922302</v>
      </c>
      <c r="E69" s="45">
        <v>219.3</v>
      </c>
      <c r="H69" s="10" t="s">
        <v>428</v>
      </c>
      <c r="I69" s="45">
        <v>2893</v>
      </c>
      <c r="J69" s="45">
        <v>3818</v>
      </c>
      <c r="K69" s="8">
        <v>0.75772655840754322</v>
      </c>
      <c r="L69" s="45">
        <v>4118.1400000000003</v>
      </c>
    </row>
    <row r="70" spans="1:12" x14ac:dyDescent="0.25">
      <c r="A70" s="10" t="s">
        <v>147</v>
      </c>
      <c r="B70" s="45">
        <v>7400</v>
      </c>
      <c r="C70" s="45">
        <v>15320</v>
      </c>
      <c r="D70" s="8">
        <v>0.48302872062663188</v>
      </c>
      <c r="E70" s="45">
        <v>1496.2200000000003</v>
      </c>
      <c r="H70" s="10" t="s">
        <v>98</v>
      </c>
      <c r="I70" s="45">
        <v>12837</v>
      </c>
      <c r="J70" s="45">
        <v>17436</v>
      </c>
      <c r="K70" s="8">
        <v>0.73623537508602888</v>
      </c>
      <c r="L70" s="45">
        <v>5937</v>
      </c>
    </row>
    <row r="71" spans="1:12" x14ac:dyDescent="0.25">
      <c r="A71" s="10" t="s">
        <v>89</v>
      </c>
      <c r="B71" s="45">
        <v>1584</v>
      </c>
      <c r="C71" s="45">
        <v>3230</v>
      </c>
      <c r="D71" s="8">
        <v>0.49040247678018578</v>
      </c>
      <c r="E71" s="45">
        <v>180.79</v>
      </c>
      <c r="H71" s="10" t="s">
        <v>371</v>
      </c>
      <c r="I71" s="45">
        <v>1411</v>
      </c>
      <c r="J71" s="45">
        <v>1982</v>
      </c>
      <c r="K71" s="8">
        <v>0.71190716448032287</v>
      </c>
      <c r="L71" s="45">
        <v>212</v>
      </c>
    </row>
    <row r="72" spans="1:12" x14ac:dyDescent="0.25">
      <c r="A72" s="11" t="s">
        <v>440</v>
      </c>
      <c r="B72" s="45">
        <v>2379</v>
      </c>
      <c r="C72" s="45">
        <v>10290</v>
      </c>
      <c r="D72" s="8">
        <v>0.23119533527696792</v>
      </c>
      <c r="E72" s="45">
        <v>998.87</v>
      </c>
      <c r="H72" s="11" t="s">
        <v>463</v>
      </c>
      <c r="I72" s="45">
        <v>17141</v>
      </c>
      <c r="J72" s="45">
        <v>23236</v>
      </c>
      <c r="K72" s="8">
        <v>0.73769151316922021</v>
      </c>
      <c r="L72" s="45">
        <v>10267.14</v>
      </c>
    </row>
    <row r="73" spans="1:12" x14ac:dyDescent="0.25">
      <c r="A73" s="10" t="s">
        <v>415</v>
      </c>
      <c r="B73" s="45">
        <v>112</v>
      </c>
      <c r="C73" s="45">
        <v>3230</v>
      </c>
      <c r="D73" s="8">
        <v>3.4674922600619197E-2</v>
      </c>
      <c r="E73" s="45">
        <v>221.85</v>
      </c>
    </row>
    <row r="74" spans="1:12" x14ac:dyDescent="0.25">
      <c r="A74" s="10" t="s">
        <v>102</v>
      </c>
      <c r="B74" s="45">
        <v>1021</v>
      </c>
      <c r="C74" s="45">
        <v>3230</v>
      </c>
      <c r="D74" s="8">
        <v>0.31609907120743036</v>
      </c>
      <c r="E74" s="45">
        <v>560.27</v>
      </c>
    </row>
    <row r="75" spans="1:12" x14ac:dyDescent="0.25">
      <c r="A75" s="10" t="s">
        <v>295</v>
      </c>
      <c r="B75" s="45">
        <v>1246</v>
      </c>
      <c r="C75" s="45">
        <v>3830</v>
      </c>
      <c r="D75" s="8">
        <v>0.32532637075718018</v>
      </c>
      <c r="E75" s="45">
        <v>216.75</v>
      </c>
      <c r="H75" s="9" t="s">
        <v>462</v>
      </c>
      <c r="I75" t="s">
        <v>464</v>
      </c>
      <c r="J75" t="s">
        <v>465</v>
      </c>
      <c r="K75" s="8" t="s">
        <v>467</v>
      </c>
      <c r="L75" t="s">
        <v>466</v>
      </c>
    </row>
    <row r="76" spans="1:12" x14ac:dyDescent="0.25">
      <c r="A76" s="11" t="s">
        <v>441</v>
      </c>
      <c r="B76" s="45">
        <v>11533</v>
      </c>
      <c r="C76" s="45">
        <v>17782</v>
      </c>
      <c r="D76" s="8">
        <v>0.64857721291193338</v>
      </c>
      <c r="E76" s="45">
        <v>3135.1099999999997</v>
      </c>
      <c r="H76" s="11" t="s">
        <v>437</v>
      </c>
      <c r="I76" s="45">
        <v>14266</v>
      </c>
      <c r="J76" s="45">
        <v>23090</v>
      </c>
      <c r="K76" s="8">
        <v>0.61784322217410137</v>
      </c>
      <c r="L76" s="45">
        <v>1670.58</v>
      </c>
    </row>
    <row r="77" spans="1:12" x14ac:dyDescent="0.25">
      <c r="A77" s="10" t="s">
        <v>254</v>
      </c>
      <c r="B77" s="45">
        <v>6291</v>
      </c>
      <c r="C77" s="45">
        <v>9854</v>
      </c>
      <c r="D77" s="8">
        <v>0.63842094580880859</v>
      </c>
      <c r="E77" s="45">
        <v>2304.65</v>
      </c>
      <c r="H77" s="10" t="s">
        <v>138</v>
      </c>
      <c r="I77" s="45">
        <v>790</v>
      </c>
      <c r="J77" s="45">
        <v>3830</v>
      </c>
      <c r="K77" s="8">
        <v>0.20626631853785901</v>
      </c>
      <c r="L77" s="45">
        <v>182.58</v>
      </c>
    </row>
    <row r="78" spans="1:12" x14ac:dyDescent="0.25">
      <c r="A78" s="10" t="s">
        <v>371</v>
      </c>
      <c r="B78" s="45">
        <v>3876</v>
      </c>
      <c r="C78" s="45">
        <v>5946</v>
      </c>
      <c r="D78" s="8">
        <v>0.65186680121089813</v>
      </c>
      <c r="E78" s="45">
        <v>636.24</v>
      </c>
      <c r="H78" s="10" t="s">
        <v>71</v>
      </c>
      <c r="I78" s="45">
        <v>5128</v>
      </c>
      <c r="J78" s="45">
        <v>7660</v>
      </c>
      <c r="K78" s="8">
        <v>0.66945169712793728</v>
      </c>
      <c r="L78" s="45">
        <v>408</v>
      </c>
    </row>
    <row r="79" spans="1:12" x14ac:dyDescent="0.25">
      <c r="A79" s="10" t="s">
        <v>157</v>
      </c>
      <c r="B79" s="45">
        <v>1366</v>
      </c>
      <c r="C79" s="45">
        <v>1982</v>
      </c>
      <c r="D79" s="8">
        <v>0.68920282542885969</v>
      </c>
      <c r="E79" s="45">
        <v>194.22</v>
      </c>
      <c r="H79" s="10" t="s">
        <v>349</v>
      </c>
      <c r="I79" s="45">
        <v>8348</v>
      </c>
      <c r="J79" s="45">
        <v>11600</v>
      </c>
      <c r="K79" s="8">
        <v>0.71965517241379307</v>
      </c>
      <c r="L79" s="45">
        <v>1080</v>
      </c>
    </row>
    <row r="80" spans="1:12" x14ac:dyDescent="0.25">
      <c r="A80" s="11" t="s">
        <v>463</v>
      </c>
      <c r="B80" s="45">
        <v>94958</v>
      </c>
      <c r="C80" s="45">
        <v>177648</v>
      </c>
      <c r="D80" s="8">
        <v>0.53452895613798068</v>
      </c>
      <c r="E80" s="45">
        <v>16183.310000000001</v>
      </c>
      <c r="H80" s="11" t="s">
        <v>463</v>
      </c>
      <c r="I80" s="45">
        <v>14266</v>
      </c>
      <c r="J80" s="45">
        <v>23090</v>
      </c>
      <c r="K80" s="8">
        <v>0.61784322217410137</v>
      </c>
      <c r="L80" s="45">
        <v>1670.58</v>
      </c>
    </row>
    <row r="81" spans="4:12" x14ac:dyDescent="0.25">
      <c r="D81"/>
    </row>
    <row r="82" spans="4:12" x14ac:dyDescent="0.25">
      <c r="D82"/>
    </row>
    <row r="83" spans="4:12" x14ac:dyDescent="0.25">
      <c r="D83"/>
      <c r="H83" s="9" t="s">
        <v>462</v>
      </c>
      <c r="I83" t="s">
        <v>464</v>
      </c>
      <c r="J83" t="s">
        <v>465</v>
      </c>
      <c r="K83" s="8" t="s">
        <v>467</v>
      </c>
      <c r="L83" t="s">
        <v>466</v>
      </c>
    </row>
    <row r="84" spans="4:12" x14ac:dyDescent="0.25">
      <c r="D84"/>
      <c r="H84" s="11" t="s">
        <v>438</v>
      </c>
      <c r="I84" s="45">
        <v>7930</v>
      </c>
      <c r="J84" s="45">
        <v>13472</v>
      </c>
      <c r="K84" s="8">
        <v>0.58862826603325413</v>
      </c>
      <c r="L84" s="45">
        <v>687.19</v>
      </c>
    </row>
    <row r="85" spans="4:12" x14ac:dyDescent="0.25">
      <c r="D85"/>
      <c r="H85" s="10" t="s">
        <v>321</v>
      </c>
      <c r="I85" s="45">
        <v>632</v>
      </c>
      <c r="J85" s="45">
        <v>3830</v>
      </c>
      <c r="K85" s="8">
        <v>0.16501305483028719</v>
      </c>
      <c r="L85" s="45">
        <v>212</v>
      </c>
    </row>
    <row r="86" spans="4:12" x14ac:dyDescent="0.25">
      <c r="H86" s="10" t="s">
        <v>141</v>
      </c>
      <c r="I86" s="45">
        <v>5792</v>
      </c>
      <c r="J86" s="45">
        <v>7660</v>
      </c>
      <c r="K86" s="8">
        <v>0.7561357702349869</v>
      </c>
      <c r="L86" s="45">
        <v>366</v>
      </c>
    </row>
    <row r="87" spans="4:12" x14ac:dyDescent="0.25">
      <c r="H87" s="10" t="s">
        <v>247</v>
      </c>
      <c r="I87" s="45">
        <v>1506</v>
      </c>
      <c r="J87" s="45">
        <v>1982</v>
      </c>
      <c r="K87" s="8">
        <v>0.75983854692230068</v>
      </c>
      <c r="L87" s="45">
        <v>109.19</v>
      </c>
    </row>
    <row r="88" spans="4:12" x14ac:dyDescent="0.25">
      <c r="H88" s="11" t="s">
        <v>463</v>
      </c>
      <c r="I88" s="45">
        <v>7930</v>
      </c>
      <c r="J88" s="45">
        <v>13472</v>
      </c>
      <c r="K88" s="8">
        <v>0.58862826603325413</v>
      </c>
      <c r="L88" s="45">
        <v>687.19</v>
      </c>
    </row>
    <row r="91" spans="4:12" x14ac:dyDescent="0.25">
      <c r="H91" s="9" t="s">
        <v>462</v>
      </c>
      <c r="I91" t="s">
        <v>464</v>
      </c>
      <c r="J91" t="s">
        <v>465</v>
      </c>
      <c r="K91" s="8" t="s">
        <v>467</v>
      </c>
      <c r="L91" t="s">
        <v>466</v>
      </c>
    </row>
    <row r="92" spans="4:12" x14ac:dyDescent="0.25">
      <c r="H92" s="11" t="s">
        <v>439</v>
      </c>
      <c r="I92" s="45">
        <v>7940</v>
      </c>
      <c r="J92" s="45">
        <v>11086</v>
      </c>
      <c r="K92" s="8">
        <v>0.71621865415839803</v>
      </c>
      <c r="L92" s="45">
        <v>2244.12</v>
      </c>
    </row>
    <row r="93" spans="4:12" x14ac:dyDescent="0.25">
      <c r="H93" s="10" t="s">
        <v>208</v>
      </c>
      <c r="I93" s="45">
        <v>2079</v>
      </c>
      <c r="J93" s="45">
        <v>3450</v>
      </c>
      <c r="K93" s="8">
        <v>0.6026086956521739</v>
      </c>
      <c r="L93" s="45">
        <v>184.37</v>
      </c>
    </row>
    <row r="94" spans="4:12" x14ac:dyDescent="0.25">
      <c r="H94" s="10" t="s">
        <v>181</v>
      </c>
      <c r="I94" s="45">
        <v>2732</v>
      </c>
      <c r="J94" s="45">
        <v>3818</v>
      </c>
      <c r="K94" s="8">
        <v>0.71555788370874807</v>
      </c>
      <c r="L94" s="45">
        <v>1726.81</v>
      </c>
    </row>
    <row r="95" spans="4:12" x14ac:dyDescent="0.25">
      <c r="H95" s="10" t="s">
        <v>94</v>
      </c>
      <c r="I95" s="45">
        <v>3129</v>
      </c>
      <c r="J95" s="45">
        <v>3818</v>
      </c>
      <c r="K95" s="8">
        <v>0.81953902566788894</v>
      </c>
      <c r="L95" s="45">
        <v>332.94</v>
      </c>
    </row>
    <row r="96" spans="4:12" x14ac:dyDescent="0.25">
      <c r="H96" s="11" t="s">
        <v>463</v>
      </c>
      <c r="I96" s="45">
        <v>7940</v>
      </c>
      <c r="J96" s="45">
        <v>11086</v>
      </c>
      <c r="K96" s="8">
        <v>0.71621865415839803</v>
      </c>
      <c r="L96" s="45">
        <v>2244.12</v>
      </c>
    </row>
    <row r="99" spans="5:12" x14ac:dyDescent="0.25">
      <c r="H99" s="9" t="s">
        <v>462</v>
      </c>
      <c r="I99" t="s">
        <v>464</v>
      </c>
      <c r="J99" t="s">
        <v>465</v>
      </c>
      <c r="K99" s="8" t="s">
        <v>467</v>
      </c>
      <c r="L99" t="s">
        <v>466</v>
      </c>
    </row>
    <row r="100" spans="5:12" x14ac:dyDescent="0.25">
      <c r="H100" s="11" t="s">
        <v>440</v>
      </c>
      <c r="I100" s="45">
        <v>4232</v>
      </c>
      <c r="J100" s="45">
        <v>7636</v>
      </c>
      <c r="K100" s="8">
        <v>0.55421686746987953</v>
      </c>
      <c r="L100" s="45">
        <v>4859.33</v>
      </c>
    </row>
    <row r="101" spans="5:12" x14ac:dyDescent="0.25">
      <c r="H101" s="10" t="s">
        <v>216</v>
      </c>
      <c r="I101" s="45">
        <v>968</v>
      </c>
      <c r="J101" s="45">
        <v>3818</v>
      </c>
      <c r="K101" s="8">
        <v>0.25353588266107913</v>
      </c>
      <c r="L101" s="45">
        <v>214.2</v>
      </c>
    </row>
    <row r="102" spans="5:12" x14ac:dyDescent="0.25">
      <c r="E102" s="7"/>
      <c r="F102" s="7"/>
      <c r="H102" s="10" t="s">
        <v>249</v>
      </c>
      <c r="I102" s="45">
        <v>3264</v>
      </c>
      <c r="J102" s="45">
        <v>3818</v>
      </c>
      <c r="K102" s="8">
        <v>0.85489785227867998</v>
      </c>
      <c r="L102" s="45">
        <v>4645.13</v>
      </c>
    </row>
    <row r="103" spans="5:12" x14ac:dyDescent="0.25">
      <c r="H103" s="11" t="s">
        <v>463</v>
      </c>
      <c r="I103" s="45">
        <v>4232</v>
      </c>
      <c r="J103" s="45">
        <v>7636</v>
      </c>
      <c r="K103" s="8">
        <v>0.55421686746987953</v>
      </c>
      <c r="L103" s="45">
        <v>4859.33</v>
      </c>
    </row>
    <row r="107" spans="5:12" x14ac:dyDescent="0.25">
      <c r="H107" s="9" t="s">
        <v>462</v>
      </c>
      <c r="I107" t="s">
        <v>464</v>
      </c>
      <c r="J107" t="s">
        <v>465</v>
      </c>
      <c r="K107" s="8" t="s">
        <v>467</v>
      </c>
      <c r="L107" t="s">
        <v>466</v>
      </c>
    </row>
    <row r="108" spans="5:12" x14ac:dyDescent="0.25">
      <c r="H108" s="11" t="s">
        <v>441</v>
      </c>
      <c r="I108" s="45">
        <v>17141</v>
      </c>
      <c r="J108" s="45">
        <v>23236</v>
      </c>
      <c r="K108" s="8">
        <v>0.73769151316922021</v>
      </c>
      <c r="L108" s="45">
        <v>10267.14</v>
      </c>
    </row>
    <row r="109" spans="5:12" x14ac:dyDescent="0.25">
      <c r="H109" s="10" t="s">
        <v>371</v>
      </c>
      <c r="I109" s="45">
        <v>1411</v>
      </c>
      <c r="J109" s="45">
        <v>1982</v>
      </c>
      <c r="K109" s="8">
        <v>0.71190716448032287</v>
      </c>
      <c r="L109" s="45">
        <v>212</v>
      </c>
    </row>
    <row r="110" spans="5:12" x14ac:dyDescent="0.25">
      <c r="H110" s="10" t="s">
        <v>98</v>
      </c>
      <c r="I110" s="45">
        <v>12837</v>
      </c>
      <c r="J110" s="45">
        <v>17436</v>
      </c>
      <c r="K110" s="8">
        <v>0.73623537508602888</v>
      </c>
      <c r="L110" s="45">
        <v>5937</v>
      </c>
    </row>
    <row r="111" spans="5:12" x14ac:dyDescent="0.25">
      <c r="H111" s="10" t="s">
        <v>428</v>
      </c>
      <c r="I111" s="45">
        <v>2893</v>
      </c>
      <c r="J111" s="45">
        <v>3818</v>
      </c>
      <c r="K111" s="8">
        <v>0.75772655840754322</v>
      </c>
      <c r="L111" s="45">
        <v>4118.1400000000003</v>
      </c>
    </row>
    <row r="112" spans="5:12" x14ac:dyDescent="0.25">
      <c r="H112" s="11" t="s">
        <v>463</v>
      </c>
      <c r="I112" s="45">
        <v>17141</v>
      </c>
      <c r="J112" s="45">
        <v>23236</v>
      </c>
      <c r="K112" s="8">
        <v>0.73769151316922021</v>
      </c>
      <c r="L112" s="45">
        <v>10267.14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44424-730E-4759-862F-ADD516DFB7DB}">
  <dimension ref="A1:E159"/>
  <sheetViews>
    <sheetView topLeftCell="A115" workbookViewId="0">
      <selection activeCell="L21" sqref="L21"/>
    </sheetView>
  </sheetViews>
  <sheetFormatPr defaultRowHeight="15" x14ac:dyDescent="0.25"/>
  <cols>
    <col min="1" max="1" width="12.140625" bestFit="1" customWidth="1"/>
    <col min="2" max="2" width="5.5703125" bestFit="1" customWidth="1"/>
    <col min="3" max="3" width="26.7109375" bestFit="1" customWidth="1"/>
    <col min="4" max="4" width="7" bestFit="1" customWidth="1"/>
    <col min="5" max="5" width="12.140625" bestFit="1" customWidth="1"/>
  </cols>
  <sheetData>
    <row r="1" spans="1:5" x14ac:dyDescent="0.25">
      <c r="A1" t="s">
        <v>44</v>
      </c>
      <c r="B1" t="s">
        <v>45</v>
      </c>
      <c r="C1" t="s">
        <v>46</v>
      </c>
      <c r="D1" t="s">
        <v>45</v>
      </c>
      <c r="E1" t="s">
        <v>44</v>
      </c>
    </row>
    <row r="2" spans="1:5" x14ac:dyDescent="0.25">
      <c r="A2" t="s">
        <v>47</v>
      </c>
      <c r="B2">
        <v>703</v>
      </c>
      <c r="C2" t="s">
        <v>48</v>
      </c>
      <c r="D2" t="s">
        <v>49</v>
      </c>
      <c r="E2" t="s">
        <v>47</v>
      </c>
    </row>
    <row r="3" spans="1:5" x14ac:dyDescent="0.25">
      <c r="A3" t="s">
        <v>50</v>
      </c>
      <c r="B3">
        <v>1006</v>
      </c>
      <c r="C3" t="s">
        <v>51</v>
      </c>
      <c r="D3" t="s">
        <v>50</v>
      </c>
      <c r="E3" t="s">
        <v>50</v>
      </c>
    </row>
    <row r="4" spans="1:5" x14ac:dyDescent="0.25">
      <c r="A4" t="s">
        <v>52</v>
      </c>
      <c r="B4">
        <v>1015</v>
      </c>
      <c r="C4" t="s">
        <v>53</v>
      </c>
      <c r="D4" t="s">
        <v>52</v>
      </c>
      <c r="E4" t="s">
        <v>52</v>
      </c>
    </row>
    <row r="5" spans="1:5" x14ac:dyDescent="0.25">
      <c r="A5" t="s">
        <v>54</v>
      </c>
      <c r="B5">
        <v>1017</v>
      </c>
      <c r="C5" t="s">
        <v>55</v>
      </c>
      <c r="D5" t="s">
        <v>54</v>
      </c>
      <c r="E5" t="s">
        <v>54</v>
      </c>
    </row>
    <row r="6" spans="1:5" x14ac:dyDescent="0.25">
      <c r="A6" t="s">
        <v>56</v>
      </c>
      <c r="B6">
        <v>1075</v>
      </c>
      <c r="C6" t="s">
        <v>57</v>
      </c>
      <c r="D6" t="s">
        <v>56</v>
      </c>
      <c r="E6" t="s">
        <v>56</v>
      </c>
    </row>
    <row r="7" spans="1:5" x14ac:dyDescent="0.25">
      <c r="A7" t="s">
        <v>58</v>
      </c>
      <c r="B7">
        <v>1075</v>
      </c>
      <c r="C7" t="s">
        <v>57</v>
      </c>
      <c r="D7" t="s">
        <v>58</v>
      </c>
      <c r="E7" t="s">
        <v>58</v>
      </c>
    </row>
    <row r="8" spans="1:5" x14ac:dyDescent="0.25">
      <c r="A8" t="s">
        <v>59</v>
      </c>
      <c r="B8">
        <v>1110</v>
      </c>
      <c r="C8" t="s">
        <v>60</v>
      </c>
      <c r="D8" t="s">
        <v>59</v>
      </c>
      <c r="E8" t="s">
        <v>59</v>
      </c>
    </row>
    <row r="9" spans="1:5" x14ac:dyDescent="0.25">
      <c r="A9" t="s">
        <v>61</v>
      </c>
      <c r="B9">
        <v>1123</v>
      </c>
      <c r="C9" t="s">
        <v>62</v>
      </c>
      <c r="D9" t="s">
        <v>61</v>
      </c>
      <c r="E9" t="s">
        <v>61</v>
      </c>
    </row>
    <row r="10" spans="1:5" x14ac:dyDescent="0.25">
      <c r="A10" t="s">
        <v>63</v>
      </c>
      <c r="B10">
        <v>1164</v>
      </c>
      <c r="C10" t="s">
        <v>64</v>
      </c>
      <c r="D10" t="s">
        <v>63</v>
      </c>
      <c r="E10" t="s">
        <v>63</v>
      </c>
    </row>
    <row r="11" spans="1:5" x14ac:dyDescent="0.25">
      <c r="A11" t="s">
        <v>65</v>
      </c>
      <c r="B11">
        <v>1170</v>
      </c>
      <c r="C11" t="s">
        <v>66</v>
      </c>
      <c r="D11" t="s">
        <v>65</v>
      </c>
      <c r="E11" t="s">
        <v>65</v>
      </c>
    </row>
    <row r="12" spans="1:5" x14ac:dyDescent="0.25">
      <c r="A12" t="s">
        <v>67</v>
      </c>
      <c r="B12">
        <v>1819</v>
      </c>
      <c r="C12" t="s">
        <v>30</v>
      </c>
      <c r="D12" t="s">
        <v>68</v>
      </c>
      <c r="E12" t="s">
        <v>67</v>
      </c>
    </row>
    <row r="13" spans="1:5" x14ac:dyDescent="0.25">
      <c r="A13" t="s">
        <v>69</v>
      </c>
      <c r="B13">
        <v>3039</v>
      </c>
      <c r="C13" t="s">
        <v>69</v>
      </c>
      <c r="D13" t="s">
        <v>70</v>
      </c>
      <c r="E13" t="s">
        <v>69</v>
      </c>
    </row>
    <row r="14" spans="1:5" x14ac:dyDescent="0.25">
      <c r="A14" t="s">
        <v>71</v>
      </c>
      <c r="B14">
        <v>769</v>
      </c>
      <c r="C14" t="s">
        <v>19</v>
      </c>
      <c r="D14" t="s">
        <v>72</v>
      </c>
      <c r="E14" t="s">
        <v>71</v>
      </c>
    </row>
    <row r="15" spans="1:5" x14ac:dyDescent="0.25">
      <c r="A15" t="s">
        <v>73</v>
      </c>
      <c r="B15">
        <v>769</v>
      </c>
      <c r="C15" t="s">
        <v>19</v>
      </c>
      <c r="D15" t="s">
        <v>74</v>
      </c>
      <c r="E15" t="s">
        <v>73</v>
      </c>
    </row>
    <row r="16" spans="1:5" x14ac:dyDescent="0.25">
      <c r="A16" t="s">
        <v>75</v>
      </c>
      <c r="B16">
        <v>789</v>
      </c>
      <c r="C16" t="s">
        <v>76</v>
      </c>
      <c r="D16" t="s">
        <v>77</v>
      </c>
      <c r="E16" t="s">
        <v>75</v>
      </c>
    </row>
    <row r="17" spans="1:5" x14ac:dyDescent="0.25">
      <c r="A17" t="s">
        <v>78</v>
      </c>
      <c r="B17">
        <v>606</v>
      </c>
      <c r="C17" t="s">
        <v>79</v>
      </c>
      <c r="D17" t="s">
        <v>80</v>
      </c>
      <c r="E17" t="s">
        <v>78</v>
      </c>
    </row>
    <row r="18" spans="1:5" x14ac:dyDescent="0.25">
      <c r="A18" t="s">
        <v>81</v>
      </c>
      <c r="B18">
        <v>1809</v>
      </c>
      <c r="C18" t="s">
        <v>5</v>
      </c>
      <c r="D18" t="s">
        <v>82</v>
      </c>
      <c r="E18" t="s">
        <v>81</v>
      </c>
    </row>
    <row r="19" spans="1:5" x14ac:dyDescent="0.25">
      <c r="A19" t="s">
        <v>83</v>
      </c>
      <c r="B19">
        <v>1096</v>
      </c>
      <c r="C19" t="s">
        <v>84</v>
      </c>
      <c r="D19" t="s">
        <v>85</v>
      </c>
      <c r="E19" t="s">
        <v>83</v>
      </c>
    </row>
    <row r="20" spans="1:5" x14ac:dyDescent="0.25">
      <c r="A20" t="s">
        <v>86</v>
      </c>
      <c r="B20">
        <v>249</v>
      </c>
      <c r="C20" t="s">
        <v>87</v>
      </c>
      <c r="D20" t="s">
        <v>88</v>
      </c>
      <c r="E20" t="s">
        <v>86</v>
      </c>
    </row>
    <row r="21" spans="1:5" x14ac:dyDescent="0.25">
      <c r="A21" t="s">
        <v>89</v>
      </c>
      <c r="B21">
        <v>1049</v>
      </c>
      <c r="C21" t="s">
        <v>35</v>
      </c>
      <c r="D21" t="s">
        <v>90</v>
      </c>
      <c r="E21" t="s">
        <v>89</v>
      </c>
    </row>
    <row r="22" spans="1:5" x14ac:dyDescent="0.25">
      <c r="A22" t="s">
        <v>91</v>
      </c>
      <c r="B22">
        <v>1429</v>
      </c>
      <c r="C22" t="s">
        <v>92</v>
      </c>
      <c r="D22" t="s">
        <v>93</v>
      </c>
      <c r="E22" t="s">
        <v>91</v>
      </c>
    </row>
    <row r="23" spans="1:5" x14ac:dyDescent="0.25">
      <c r="A23" t="s">
        <v>94</v>
      </c>
      <c r="B23">
        <v>2079</v>
      </c>
      <c r="C23" t="s">
        <v>23</v>
      </c>
      <c r="D23" t="s">
        <v>95</v>
      </c>
      <c r="E23" t="s">
        <v>94</v>
      </c>
    </row>
    <row r="24" spans="1:5" x14ac:dyDescent="0.25">
      <c r="A24" t="s">
        <v>96</v>
      </c>
      <c r="B24">
        <v>2919</v>
      </c>
      <c r="C24" t="s">
        <v>11</v>
      </c>
      <c r="D24" t="s">
        <v>97</v>
      </c>
      <c r="E24" t="s">
        <v>96</v>
      </c>
    </row>
    <row r="25" spans="1:5" x14ac:dyDescent="0.25">
      <c r="A25" t="s">
        <v>98</v>
      </c>
      <c r="B25">
        <v>6059</v>
      </c>
      <c r="C25" t="s">
        <v>22</v>
      </c>
      <c r="D25" t="s">
        <v>99</v>
      </c>
      <c r="E25" t="s">
        <v>98</v>
      </c>
    </row>
    <row r="26" spans="1:5" x14ac:dyDescent="0.25">
      <c r="A26" t="s">
        <v>100</v>
      </c>
      <c r="B26">
        <v>189</v>
      </c>
      <c r="C26" t="s">
        <v>33</v>
      </c>
      <c r="D26" t="s">
        <v>101</v>
      </c>
      <c r="E26" t="s">
        <v>100</v>
      </c>
    </row>
    <row r="27" spans="1:5" x14ac:dyDescent="0.25">
      <c r="A27" t="s">
        <v>102</v>
      </c>
      <c r="B27">
        <v>189</v>
      </c>
      <c r="C27" t="s">
        <v>33</v>
      </c>
      <c r="D27" t="s">
        <v>103</v>
      </c>
      <c r="E27" t="s">
        <v>102</v>
      </c>
    </row>
    <row r="28" spans="1:5" x14ac:dyDescent="0.25">
      <c r="A28" t="s">
        <v>104</v>
      </c>
      <c r="B28">
        <v>1251</v>
      </c>
      <c r="C28" t="s">
        <v>105</v>
      </c>
      <c r="D28" t="s">
        <v>106</v>
      </c>
      <c r="E28" t="s">
        <v>104</v>
      </c>
    </row>
    <row r="29" spans="1:5" x14ac:dyDescent="0.25">
      <c r="A29" t="s">
        <v>107</v>
      </c>
      <c r="B29">
        <v>1979</v>
      </c>
      <c r="C29" t="s">
        <v>108</v>
      </c>
      <c r="D29" t="s">
        <v>109</v>
      </c>
      <c r="E29" t="s">
        <v>107</v>
      </c>
    </row>
    <row r="30" spans="1:5" x14ac:dyDescent="0.25">
      <c r="A30" t="s">
        <v>110</v>
      </c>
      <c r="B30">
        <v>4329</v>
      </c>
      <c r="C30" t="s">
        <v>26</v>
      </c>
      <c r="D30" t="s">
        <v>111</v>
      </c>
      <c r="E30" t="s">
        <v>110</v>
      </c>
    </row>
    <row r="31" spans="1:5" x14ac:dyDescent="0.25">
      <c r="A31" t="s">
        <v>112</v>
      </c>
      <c r="B31">
        <v>889</v>
      </c>
      <c r="C31" t="s">
        <v>40</v>
      </c>
      <c r="D31" t="s">
        <v>113</v>
      </c>
      <c r="E31" t="s">
        <v>112</v>
      </c>
    </row>
    <row r="32" spans="1:5" x14ac:dyDescent="0.25">
      <c r="A32" t="s">
        <v>114</v>
      </c>
      <c r="B32">
        <v>1689</v>
      </c>
      <c r="C32" t="s">
        <v>115</v>
      </c>
      <c r="D32" t="s">
        <v>116</v>
      </c>
      <c r="E32" t="s">
        <v>114</v>
      </c>
    </row>
    <row r="33" spans="1:5" x14ac:dyDescent="0.25">
      <c r="A33" t="s">
        <v>117</v>
      </c>
      <c r="B33">
        <v>680</v>
      </c>
      <c r="C33" t="s">
        <v>118</v>
      </c>
      <c r="D33" t="s">
        <v>119</v>
      </c>
      <c r="E33" t="s">
        <v>117</v>
      </c>
    </row>
    <row r="34" spans="1:5" x14ac:dyDescent="0.25">
      <c r="A34" t="s">
        <v>120</v>
      </c>
      <c r="B34">
        <v>8029</v>
      </c>
      <c r="C34" t="s">
        <v>121</v>
      </c>
      <c r="D34" t="s">
        <v>122</v>
      </c>
      <c r="E34" t="s">
        <v>120</v>
      </c>
    </row>
    <row r="35" spans="1:5" x14ac:dyDescent="0.25">
      <c r="A35" t="s">
        <v>123</v>
      </c>
      <c r="B35">
        <v>2209</v>
      </c>
      <c r="C35" t="s">
        <v>124</v>
      </c>
      <c r="D35" t="s">
        <v>125</v>
      </c>
      <c r="E35" t="s">
        <v>123</v>
      </c>
    </row>
    <row r="36" spans="1:5" x14ac:dyDescent="0.25">
      <c r="A36" t="s">
        <v>126</v>
      </c>
      <c r="B36">
        <v>899</v>
      </c>
      <c r="C36" t="s">
        <v>127</v>
      </c>
      <c r="D36" t="s">
        <v>128</v>
      </c>
      <c r="E36" t="s">
        <v>126</v>
      </c>
    </row>
    <row r="37" spans="1:5" x14ac:dyDescent="0.25">
      <c r="A37" t="s">
        <v>129</v>
      </c>
      <c r="B37">
        <v>1069</v>
      </c>
      <c r="C37" t="s">
        <v>130</v>
      </c>
      <c r="D37" t="s">
        <v>131</v>
      </c>
      <c r="E37" t="s">
        <v>129</v>
      </c>
    </row>
    <row r="38" spans="1:5" x14ac:dyDescent="0.25">
      <c r="A38" t="s">
        <v>132</v>
      </c>
      <c r="B38">
        <v>606</v>
      </c>
      <c r="C38" t="s">
        <v>133</v>
      </c>
      <c r="D38" t="s">
        <v>134</v>
      </c>
      <c r="E38" t="s">
        <v>132</v>
      </c>
    </row>
    <row r="39" spans="1:5" x14ac:dyDescent="0.25">
      <c r="A39" t="s">
        <v>135</v>
      </c>
      <c r="B39">
        <v>729</v>
      </c>
      <c r="C39" t="s">
        <v>136</v>
      </c>
      <c r="D39" t="s">
        <v>137</v>
      </c>
      <c r="E39" t="s">
        <v>135</v>
      </c>
    </row>
    <row r="40" spans="1:5" x14ac:dyDescent="0.25">
      <c r="A40" t="s">
        <v>138</v>
      </c>
      <c r="B40">
        <v>1729</v>
      </c>
      <c r="C40" t="s">
        <v>139</v>
      </c>
      <c r="D40" t="s">
        <v>140</v>
      </c>
      <c r="E40" t="s">
        <v>138</v>
      </c>
    </row>
    <row r="41" spans="1:5" x14ac:dyDescent="0.25">
      <c r="A41" t="s">
        <v>141</v>
      </c>
      <c r="B41">
        <v>1729</v>
      </c>
      <c r="C41" t="s">
        <v>139</v>
      </c>
      <c r="D41" t="s">
        <v>142</v>
      </c>
      <c r="E41" t="s">
        <v>141</v>
      </c>
    </row>
    <row r="42" spans="1:5" x14ac:dyDescent="0.25">
      <c r="A42" t="s">
        <v>143</v>
      </c>
      <c r="B42">
        <v>4628</v>
      </c>
      <c r="C42" t="s">
        <v>31</v>
      </c>
      <c r="D42" t="s">
        <v>144</v>
      </c>
      <c r="E42" t="s">
        <v>143</v>
      </c>
    </row>
    <row r="43" spans="1:5" x14ac:dyDescent="0.25">
      <c r="A43" t="s">
        <v>145</v>
      </c>
      <c r="B43">
        <v>1129</v>
      </c>
      <c r="C43" t="s">
        <v>37</v>
      </c>
      <c r="D43" t="s">
        <v>146</v>
      </c>
      <c r="E43" t="s">
        <v>145</v>
      </c>
    </row>
    <row r="44" spans="1:5" x14ac:dyDescent="0.25">
      <c r="A44" t="s">
        <v>147</v>
      </c>
      <c r="B44">
        <v>2049</v>
      </c>
      <c r="C44" t="s">
        <v>29</v>
      </c>
      <c r="D44" t="s">
        <v>148</v>
      </c>
      <c r="E44" t="s">
        <v>147</v>
      </c>
    </row>
    <row r="45" spans="1:5" x14ac:dyDescent="0.25">
      <c r="A45" t="s">
        <v>149</v>
      </c>
      <c r="B45">
        <v>8567</v>
      </c>
      <c r="C45" t="s">
        <v>150</v>
      </c>
      <c r="D45" t="s">
        <v>151</v>
      </c>
      <c r="E45" t="s">
        <v>149</v>
      </c>
    </row>
    <row r="46" spans="1:5" x14ac:dyDescent="0.25">
      <c r="A46" t="s">
        <v>152</v>
      </c>
      <c r="B46">
        <v>9029</v>
      </c>
      <c r="C46" t="s">
        <v>153</v>
      </c>
      <c r="D46" t="s">
        <v>154</v>
      </c>
      <c r="E46" t="s">
        <v>152</v>
      </c>
    </row>
    <row r="47" spans="1:5" x14ac:dyDescent="0.25">
      <c r="A47" t="s">
        <v>155</v>
      </c>
      <c r="B47">
        <v>9029</v>
      </c>
      <c r="C47" t="s">
        <v>153</v>
      </c>
      <c r="D47" t="s">
        <v>156</v>
      </c>
      <c r="E47" t="s">
        <v>155</v>
      </c>
    </row>
    <row r="48" spans="1:5" x14ac:dyDescent="0.25">
      <c r="A48" t="s">
        <v>157</v>
      </c>
      <c r="B48">
        <v>619</v>
      </c>
      <c r="C48" t="s">
        <v>41</v>
      </c>
      <c r="D48" t="s">
        <v>158</v>
      </c>
      <c r="E48" t="s">
        <v>157</v>
      </c>
    </row>
    <row r="49" spans="1:5" x14ac:dyDescent="0.25">
      <c r="A49" t="s">
        <v>159</v>
      </c>
      <c r="B49">
        <v>619</v>
      </c>
      <c r="C49" t="s">
        <v>41</v>
      </c>
      <c r="D49" t="s">
        <v>160</v>
      </c>
      <c r="E49" t="s">
        <v>159</v>
      </c>
    </row>
    <row r="50" spans="1:5" x14ac:dyDescent="0.25">
      <c r="A50" t="s">
        <v>161</v>
      </c>
      <c r="B50">
        <v>1999</v>
      </c>
      <c r="C50" t="s">
        <v>162</v>
      </c>
      <c r="D50" t="s">
        <v>163</v>
      </c>
      <c r="E50" t="s">
        <v>161</v>
      </c>
    </row>
    <row r="51" spans="1:5" x14ac:dyDescent="0.25">
      <c r="A51" t="s">
        <v>164</v>
      </c>
      <c r="B51">
        <v>7687</v>
      </c>
      <c r="C51" t="s">
        <v>6</v>
      </c>
      <c r="D51" t="s">
        <v>165</v>
      </c>
      <c r="E51" t="s">
        <v>164</v>
      </c>
    </row>
    <row r="52" spans="1:5" x14ac:dyDescent="0.25">
      <c r="A52" t="s">
        <v>166</v>
      </c>
      <c r="B52">
        <v>7687</v>
      </c>
      <c r="C52" t="s">
        <v>6</v>
      </c>
      <c r="D52" t="s">
        <v>167</v>
      </c>
      <c r="E52" t="s">
        <v>166</v>
      </c>
    </row>
    <row r="53" spans="1:5" x14ac:dyDescent="0.25">
      <c r="A53" t="s">
        <v>168</v>
      </c>
      <c r="B53">
        <v>3309</v>
      </c>
      <c r="C53" t="s">
        <v>169</v>
      </c>
      <c r="D53" t="s">
        <v>170</v>
      </c>
      <c r="E53" t="s">
        <v>168</v>
      </c>
    </row>
    <row r="54" spans="1:5" x14ac:dyDescent="0.25">
      <c r="A54" t="s">
        <v>171</v>
      </c>
      <c r="B54">
        <v>1820</v>
      </c>
      <c r="C54" t="s">
        <v>172</v>
      </c>
      <c r="D54" t="s">
        <v>173</v>
      </c>
      <c r="E54" t="s">
        <v>171</v>
      </c>
    </row>
    <row r="55" spans="1:5" x14ac:dyDescent="0.25">
      <c r="A55" t="s">
        <v>174</v>
      </c>
      <c r="B55">
        <v>1820</v>
      </c>
      <c r="C55" t="s">
        <v>172</v>
      </c>
      <c r="D55" t="s">
        <v>175</v>
      </c>
      <c r="E55" t="s">
        <v>174</v>
      </c>
    </row>
    <row r="56" spans="1:5" x14ac:dyDescent="0.25">
      <c r="A56" t="s">
        <v>176</v>
      </c>
      <c r="B56">
        <v>1250</v>
      </c>
      <c r="C56" t="s">
        <v>177</v>
      </c>
      <c r="D56" t="s">
        <v>178</v>
      </c>
      <c r="E56" t="s">
        <v>176</v>
      </c>
    </row>
    <row r="57" spans="1:5" x14ac:dyDescent="0.25">
      <c r="A57" t="s">
        <v>179</v>
      </c>
      <c r="B57">
        <v>1119</v>
      </c>
      <c r="C57" t="s">
        <v>28</v>
      </c>
      <c r="D57" t="s">
        <v>180</v>
      </c>
      <c r="E57" t="s">
        <v>179</v>
      </c>
    </row>
    <row r="58" spans="1:5" x14ac:dyDescent="0.25">
      <c r="A58" t="s">
        <v>181</v>
      </c>
      <c r="B58">
        <v>3229</v>
      </c>
      <c r="C58" t="s">
        <v>10</v>
      </c>
      <c r="D58" t="s">
        <v>182</v>
      </c>
      <c r="E58" t="s">
        <v>181</v>
      </c>
    </row>
    <row r="59" spans="1:5" x14ac:dyDescent="0.25">
      <c r="A59" t="s">
        <v>183</v>
      </c>
      <c r="B59">
        <v>6069</v>
      </c>
      <c r="C59" t="s">
        <v>184</v>
      </c>
      <c r="D59" t="s">
        <v>185</v>
      </c>
      <c r="E59" t="s">
        <v>183</v>
      </c>
    </row>
    <row r="60" spans="1:5" x14ac:dyDescent="0.25">
      <c r="A60" t="s">
        <v>186</v>
      </c>
      <c r="B60">
        <v>6069</v>
      </c>
      <c r="C60" t="s">
        <v>184</v>
      </c>
      <c r="D60" t="s">
        <v>187</v>
      </c>
      <c r="E60" t="s">
        <v>186</v>
      </c>
    </row>
    <row r="61" spans="1:5" x14ac:dyDescent="0.25">
      <c r="A61" t="s">
        <v>188</v>
      </c>
      <c r="B61">
        <v>1249</v>
      </c>
      <c r="C61" t="s">
        <v>189</v>
      </c>
      <c r="D61" t="s">
        <v>190</v>
      </c>
      <c r="E61" t="s">
        <v>188</v>
      </c>
    </row>
    <row r="62" spans="1:5" x14ac:dyDescent="0.25">
      <c r="A62" t="s">
        <v>191</v>
      </c>
      <c r="B62">
        <v>3799</v>
      </c>
      <c r="C62" t="s">
        <v>192</v>
      </c>
      <c r="D62" t="s">
        <v>193</v>
      </c>
      <c r="E62" t="s">
        <v>191</v>
      </c>
    </row>
    <row r="63" spans="1:5" x14ac:dyDescent="0.25">
      <c r="A63" t="s">
        <v>194</v>
      </c>
      <c r="B63">
        <v>871</v>
      </c>
      <c r="C63" t="s">
        <v>195</v>
      </c>
      <c r="D63" t="s">
        <v>196</v>
      </c>
      <c r="E63" t="s">
        <v>194</v>
      </c>
    </row>
    <row r="64" spans="1:5" x14ac:dyDescent="0.25">
      <c r="A64" t="s">
        <v>197</v>
      </c>
      <c r="B64">
        <v>1759</v>
      </c>
      <c r="C64" t="s">
        <v>36</v>
      </c>
      <c r="D64" t="s">
        <v>198</v>
      </c>
      <c r="E64" t="s">
        <v>197</v>
      </c>
    </row>
    <row r="65" spans="1:5" x14ac:dyDescent="0.25">
      <c r="A65" t="s">
        <v>199</v>
      </c>
      <c r="B65">
        <v>1759</v>
      </c>
      <c r="C65" t="s">
        <v>36</v>
      </c>
      <c r="D65" t="s">
        <v>200</v>
      </c>
      <c r="E65" t="s">
        <v>199</v>
      </c>
    </row>
    <row r="66" spans="1:5" x14ac:dyDescent="0.25">
      <c r="A66" t="s">
        <v>201</v>
      </c>
      <c r="B66">
        <v>819</v>
      </c>
      <c r="C66" t="s">
        <v>202</v>
      </c>
      <c r="D66" t="s">
        <v>203</v>
      </c>
      <c r="E66" t="s">
        <v>201</v>
      </c>
    </row>
    <row r="67" spans="1:5" x14ac:dyDescent="0.25">
      <c r="A67" t="s">
        <v>204</v>
      </c>
      <c r="B67">
        <v>4059</v>
      </c>
      <c r="C67" t="s">
        <v>42</v>
      </c>
      <c r="D67" t="s">
        <v>205</v>
      </c>
      <c r="E67" t="s">
        <v>204</v>
      </c>
    </row>
    <row r="68" spans="1:5" x14ac:dyDescent="0.25">
      <c r="A68" t="s">
        <v>206</v>
      </c>
      <c r="B68">
        <v>4059</v>
      </c>
      <c r="C68" t="s">
        <v>42</v>
      </c>
      <c r="D68" t="s">
        <v>207</v>
      </c>
      <c r="E68" t="s">
        <v>206</v>
      </c>
    </row>
    <row r="69" spans="1:5" x14ac:dyDescent="0.25">
      <c r="A69" t="s">
        <v>208</v>
      </c>
      <c r="B69">
        <v>1009</v>
      </c>
      <c r="C69" t="s">
        <v>7</v>
      </c>
      <c r="D69" t="s">
        <v>209</v>
      </c>
      <c r="E69" t="s">
        <v>208</v>
      </c>
    </row>
    <row r="70" spans="1:5" x14ac:dyDescent="0.25">
      <c r="A70" t="s">
        <v>210</v>
      </c>
      <c r="B70">
        <v>1014</v>
      </c>
      <c r="C70" t="s">
        <v>211</v>
      </c>
      <c r="D70" t="s">
        <v>212</v>
      </c>
      <c r="E70" t="s">
        <v>210</v>
      </c>
    </row>
    <row r="71" spans="1:5" x14ac:dyDescent="0.25">
      <c r="A71" t="s">
        <v>213</v>
      </c>
      <c r="B71">
        <v>1029</v>
      </c>
      <c r="C71" t="s">
        <v>214</v>
      </c>
      <c r="D71" t="s">
        <v>215</v>
      </c>
      <c r="E71" t="s">
        <v>213</v>
      </c>
    </row>
    <row r="72" spans="1:5" x14ac:dyDescent="0.25">
      <c r="A72" t="s">
        <v>216</v>
      </c>
      <c r="B72">
        <v>709</v>
      </c>
      <c r="C72" t="s">
        <v>27</v>
      </c>
      <c r="D72" t="s">
        <v>217</v>
      </c>
      <c r="E72" t="s">
        <v>216</v>
      </c>
    </row>
    <row r="73" spans="1:5" x14ac:dyDescent="0.25">
      <c r="A73" t="s">
        <v>218</v>
      </c>
      <c r="B73">
        <v>709</v>
      </c>
      <c r="C73" t="s">
        <v>27</v>
      </c>
      <c r="D73" t="s">
        <v>219</v>
      </c>
      <c r="E73" t="s">
        <v>218</v>
      </c>
    </row>
    <row r="74" spans="1:5" x14ac:dyDescent="0.25">
      <c r="A74" t="s">
        <v>220</v>
      </c>
      <c r="B74">
        <v>2750</v>
      </c>
      <c r="C74" t="s">
        <v>17</v>
      </c>
      <c r="D74" t="s">
        <v>221</v>
      </c>
      <c r="E74" t="s">
        <v>220</v>
      </c>
    </row>
    <row r="75" spans="1:5" x14ac:dyDescent="0.25">
      <c r="A75" t="s">
        <v>222</v>
      </c>
      <c r="B75">
        <v>1189</v>
      </c>
      <c r="C75" t="s">
        <v>223</v>
      </c>
      <c r="D75" t="s">
        <v>224</v>
      </c>
      <c r="E75" t="s">
        <v>222</v>
      </c>
    </row>
    <row r="76" spans="1:5" x14ac:dyDescent="0.25">
      <c r="A76" t="s">
        <v>225</v>
      </c>
      <c r="B76">
        <v>7519</v>
      </c>
      <c r="C76" t="s">
        <v>226</v>
      </c>
      <c r="D76" t="s">
        <v>227</v>
      </c>
      <c r="E76" t="s">
        <v>225</v>
      </c>
    </row>
    <row r="77" spans="1:5" x14ac:dyDescent="0.25">
      <c r="A77" t="s">
        <v>228</v>
      </c>
      <c r="B77">
        <v>5549</v>
      </c>
      <c r="C77" t="s">
        <v>229</v>
      </c>
      <c r="D77" t="s">
        <v>230</v>
      </c>
      <c r="E77" t="s">
        <v>228</v>
      </c>
    </row>
    <row r="78" spans="1:5" x14ac:dyDescent="0.25">
      <c r="A78" t="s">
        <v>231</v>
      </c>
      <c r="B78">
        <v>749</v>
      </c>
      <c r="C78" t="s">
        <v>232</v>
      </c>
      <c r="D78" t="s">
        <v>233</v>
      </c>
      <c r="E78" t="s">
        <v>231</v>
      </c>
    </row>
    <row r="79" spans="1:5" x14ac:dyDescent="0.25">
      <c r="A79" t="s">
        <v>234</v>
      </c>
      <c r="B79">
        <v>1089</v>
      </c>
      <c r="C79" t="s">
        <v>235</v>
      </c>
      <c r="D79" t="s">
        <v>236</v>
      </c>
      <c r="E79" t="s">
        <v>234</v>
      </c>
    </row>
    <row r="80" spans="1:5" x14ac:dyDescent="0.25">
      <c r="A80" t="s">
        <v>237</v>
      </c>
      <c r="B80">
        <v>1111</v>
      </c>
      <c r="C80" t="s">
        <v>238</v>
      </c>
      <c r="D80" t="s">
        <v>239</v>
      </c>
      <c r="E80" t="s">
        <v>237</v>
      </c>
    </row>
    <row r="81" spans="1:5" x14ac:dyDescent="0.25">
      <c r="A81" t="s">
        <v>240</v>
      </c>
      <c r="B81">
        <v>395</v>
      </c>
      <c r="C81" t="s">
        <v>241</v>
      </c>
      <c r="D81" t="s">
        <v>242</v>
      </c>
      <c r="E81" t="s">
        <v>240</v>
      </c>
    </row>
    <row r="82" spans="1:5" x14ac:dyDescent="0.25">
      <c r="A82" t="s">
        <v>243</v>
      </c>
      <c r="B82">
        <v>395</v>
      </c>
      <c r="C82" t="s">
        <v>241</v>
      </c>
      <c r="D82" t="s">
        <v>244</v>
      </c>
      <c r="E82" t="s">
        <v>243</v>
      </c>
    </row>
    <row r="83" spans="1:5" x14ac:dyDescent="0.25">
      <c r="A83" t="s">
        <v>245</v>
      </c>
      <c r="B83">
        <v>1159</v>
      </c>
      <c r="C83" t="s">
        <v>24</v>
      </c>
      <c r="D83" t="s">
        <v>246</v>
      </c>
      <c r="E83" t="s">
        <v>245</v>
      </c>
    </row>
    <row r="84" spans="1:5" x14ac:dyDescent="0.25">
      <c r="A84" t="s">
        <v>247</v>
      </c>
      <c r="B84">
        <v>1159</v>
      </c>
      <c r="C84" t="s">
        <v>24</v>
      </c>
      <c r="D84" t="s">
        <v>248</v>
      </c>
      <c r="E84" t="s">
        <v>247</v>
      </c>
    </row>
    <row r="85" spans="1:5" x14ac:dyDescent="0.25">
      <c r="A85" t="s">
        <v>249</v>
      </c>
      <c r="B85">
        <v>9489</v>
      </c>
      <c r="C85" t="s">
        <v>20</v>
      </c>
      <c r="D85" t="s">
        <v>250</v>
      </c>
      <c r="E85" t="s">
        <v>249</v>
      </c>
    </row>
    <row r="86" spans="1:5" x14ac:dyDescent="0.25">
      <c r="A86" t="s">
        <v>251</v>
      </c>
      <c r="B86">
        <v>1569</v>
      </c>
      <c r="C86" t="s">
        <v>252</v>
      </c>
      <c r="D86" t="s">
        <v>253</v>
      </c>
      <c r="E86" t="s">
        <v>251</v>
      </c>
    </row>
    <row r="87" spans="1:5" x14ac:dyDescent="0.25">
      <c r="A87" t="s">
        <v>254</v>
      </c>
      <c r="B87">
        <v>4359</v>
      </c>
      <c r="C87" t="s">
        <v>9</v>
      </c>
      <c r="D87" t="s">
        <v>255</v>
      </c>
      <c r="E87" t="s">
        <v>254</v>
      </c>
    </row>
    <row r="88" spans="1:5" x14ac:dyDescent="0.25">
      <c r="A88" t="s">
        <v>256</v>
      </c>
      <c r="B88">
        <v>652</v>
      </c>
      <c r="C88" t="s">
        <v>257</v>
      </c>
      <c r="D88" t="s">
        <v>258</v>
      </c>
      <c r="E88" t="s">
        <v>256</v>
      </c>
    </row>
    <row r="89" spans="1:5" x14ac:dyDescent="0.25">
      <c r="A89" t="s">
        <v>259</v>
      </c>
      <c r="B89">
        <v>635</v>
      </c>
      <c r="C89" t="s">
        <v>260</v>
      </c>
      <c r="D89" t="s">
        <v>261</v>
      </c>
      <c r="E89" t="s">
        <v>259</v>
      </c>
    </row>
    <row r="90" spans="1:5" x14ac:dyDescent="0.25">
      <c r="A90" t="s">
        <v>262</v>
      </c>
      <c r="B90">
        <v>699</v>
      </c>
      <c r="C90" t="s">
        <v>263</v>
      </c>
      <c r="D90" t="s">
        <v>264</v>
      </c>
      <c r="E90" t="s">
        <v>262</v>
      </c>
    </row>
    <row r="91" spans="1:5" x14ac:dyDescent="0.25">
      <c r="A91" t="s">
        <v>265</v>
      </c>
      <c r="B91">
        <v>209</v>
      </c>
      <c r="C91" t="s">
        <v>266</v>
      </c>
      <c r="D91" t="s">
        <v>267</v>
      </c>
      <c r="E91" t="s">
        <v>265</v>
      </c>
    </row>
    <row r="92" spans="1:5" x14ac:dyDescent="0.25">
      <c r="A92" t="s">
        <v>268</v>
      </c>
      <c r="B92">
        <v>649</v>
      </c>
      <c r="C92" t="s">
        <v>269</v>
      </c>
      <c r="D92" t="s">
        <v>270</v>
      </c>
      <c r="E92" t="s">
        <v>268</v>
      </c>
    </row>
    <row r="93" spans="1:5" x14ac:dyDescent="0.25">
      <c r="A93" t="s">
        <v>271</v>
      </c>
      <c r="B93">
        <v>1974</v>
      </c>
      <c r="C93" t="s">
        <v>272</v>
      </c>
      <c r="D93" t="s">
        <v>273</v>
      </c>
      <c r="E93" t="s">
        <v>271</v>
      </c>
    </row>
    <row r="94" spans="1:5" x14ac:dyDescent="0.25">
      <c r="A94" t="s">
        <v>274</v>
      </c>
      <c r="B94">
        <v>1269</v>
      </c>
      <c r="C94" t="s">
        <v>275</v>
      </c>
      <c r="D94" t="s">
        <v>276</v>
      </c>
      <c r="E94" t="s">
        <v>274</v>
      </c>
    </row>
    <row r="95" spans="1:5" x14ac:dyDescent="0.25">
      <c r="A95" t="s">
        <v>277</v>
      </c>
      <c r="B95">
        <v>647</v>
      </c>
      <c r="C95" t="s">
        <v>278</v>
      </c>
      <c r="D95" t="s">
        <v>279</v>
      </c>
      <c r="E95" t="s">
        <v>277</v>
      </c>
    </row>
    <row r="96" spans="1:5" x14ac:dyDescent="0.25">
      <c r="A96" t="s">
        <v>280</v>
      </c>
      <c r="B96">
        <v>719</v>
      </c>
      <c r="C96" t="s">
        <v>281</v>
      </c>
      <c r="D96" t="s">
        <v>282</v>
      </c>
      <c r="E96" t="s">
        <v>280</v>
      </c>
    </row>
    <row r="97" spans="1:5" x14ac:dyDescent="0.25">
      <c r="A97" t="s">
        <v>283</v>
      </c>
      <c r="B97">
        <v>1919</v>
      </c>
      <c r="C97" t="s">
        <v>38</v>
      </c>
      <c r="D97" t="s">
        <v>284</v>
      </c>
      <c r="E97" t="s">
        <v>283</v>
      </c>
    </row>
    <row r="98" spans="1:5" x14ac:dyDescent="0.25">
      <c r="A98" t="s">
        <v>285</v>
      </c>
      <c r="B98">
        <v>6029</v>
      </c>
      <c r="C98" t="s">
        <v>286</v>
      </c>
      <c r="D98" t="s">
        <v>287</v>
      </c>
      <c r="E98" t="s">
        <v>285</v>
      </c>
    </row>
    <row r="99" spans="1:5" x14ac:dyDescent="0.25">
      <c r="A99" t="s">
        <v>288</v>
      </c>
      <c r="B99">
        <v>799</v>
      </c>
      <c r="C99" t="s">
        <v>289</v>
      </c>
      <c r="D99" t="s">
        <v>290</v>
      </c>
      <c r="E99" t="s">
        <v>288</v>
      </c>
    </row>
    <row r="100" spans="1:5" x14ac:dyDescent="0.25">
      <c r="A100" t="s">
        <v>291</v>
      </c>
      <c r="B100">
        <v>799</v>
      </c>
      <c r="C100" t="s">
        <v>289</v>
      </c>
      <c r="D100" t="s">
        <v>292</v>
      </c>
      <c r="E100" t="s">
        <v>291</v>
      </c>
    </row>
    <row r="101" spans="1:5" x14ac:dyDescent="0.25">
      <c r="A101" t="s">
        <v>293</v>
      </c>
      <c r="B101">
        <v>1949</v>
      </c>
      <c r="C101" t="s">
        <v>34</v>
      </c>
      <c r="D101" t="s">
        <v>294</v>
      </c>
      <c r="E101" t="s">
        <v>293</v>
      </c>
    </row>
    <row r="102" spans="1:5" x14ac:dyDescent="0.25">
      <c r="A102" t="s">
        <v>295</v>
      </c>
      <c r="B102">
        <v>1949</v>
      </c>
      <c r="C102" t="s">
        <v>34</v>
      </c>
      <c r="D102" t="s">
        <v>296</v>
      </c>
      <c r="E102" t="s">
        <v>295</v>
      </c>
    </row>
    <row r="103" spans="1:5" x14ac:dyDescent="0.25">
      <c r="A103" t="s">
        <v>297</v>
      </c>
      <c r="B103">
        <v>829</v>
      </c>
      <c r="C103" t="s">
        <v>298</v>
      </c>
      <c r="D103" t="s">
        <v>299</v>
      </c>
      <c r="E103" t="s">
        <v>297</v>
      </c>
    </row>
    <row r="104" spans="1:5" x14ac:dyDescent="0.25">
      <c r="A104" t="s">
        <v>300</v>
      </c>
      <c r="B104">
        <v>1790</v>
      </c>
      <c r="C104" t="s">
        <v>301</v>
      </c>
      <c r="D104" t="s">
        <v>302</v>
      </c>
      <c r="E104" t="s">
        <v>300</v>
      </c>
    </row>
    <row r="105" spans="1:5" x14ac:dyDescent="0.25">
      <c r="A105" t="s">
        <v>303</v>
      </c>
      <c r="B105">
        <v>1260</v>
      </c>
      <c r="C105" t="s">
        <v>304</v>
      </c>
      <c r="D105" t="s">
        <v>305</v>
      </c>
      <c r="E105" t="s">
        <v>303</v>
      </c>
    </row>
    <row r="106" spans="1:5" x14ac:dyDescent="0.25">
      <c r="A106" t="s">
        <v>306</v>
      </c>
      <c r="B106">
        <v>299</v>
      </c>
      <c r="C106" t="s">
        <v>14</v>
      </c>
      <c r="D106" t="s">
        <v>307</v>
      </c>
      <c r="E106" t="s">
        <v>306</v>
      </c>
    </row>
    <row r="107" spans="1:5" x14ac:dyDescent="0.25">
      <c r="A107" t="s">
        <v>308</v>
      </c>
      <c r="B107">
        <v>299</v>
      </c>
      <c r="C107" t="s">
        <v>14</v>
      </c>
      <c r="D107" t="s">
        <v>309</v>
      </c>
      <c r="E107" t="s">
        <v>308</v>
      </c>
    </row>
    <row r="108" spans="1:5" x14ac:dyDescent="0.25">
      <c r="A108" t="s">
        <v>310</v>
      </c>
      <c r="B108">
        <v>2769</v>
      </c>
      <c r="C108" t="s">
        <v>311</v>
      </c>
      <c r="D108" t="s">
        <v>312</v>
      </c>
      <c r="E108" t="s">
        <v>310</v>
      </c>
    </row>
    <row r="109" spans="1:5" x14ac:dyDescent="0.25">
      <c r="A109" t="s">
        <v>313</v>
      </c>
      <c r="B109">
        <v>1969</v>
      </c>
      <c r="C109" t="s">
        <v>314</v>
      </c>
      <c r="D109" t="s">
        <v>315</v>
      </c>
      <c r="E109" t="s">
        <v>313</v>
      </c>
    </row>
    <row r="110" spans="1:5" x14ac:dyDescent="0.25">
      <c r="A110" t="s">
        <v>316</v>
      </c>
      <c r="B110">
        <v>6119</v>
      </c>
      <c r="C110" t="s">
        <v>317</v>
      </c>
      <c r="D110" t="s">
        <v>318</v>
      </c>
      <c r="E110" t="s">
        <v>316</v>
      </c>
    </row>
    <row r="111" spans="1:5" x14ac:dyDescent="0.25">
      <c r="A111" t="s">
        <v>319</v>
      </c>
      <c r="B111">
        <v>2329</v>
      </c>
      <c r="C111" t="s">
        <v>43</v>
      </c>
      <c r="D111" t="s">
        <v>320</v>
      </c>
      <c r="E111" t="s">
        <v>319</v>
      </c>
    </row>
    <row r="112" spans="1:5" x14ac:dyDescent="0.25">
      <c r="A112" t="s">
        <v>321</v>
      </c>
      <c r="B112">
        <v>759</v>
      </c>
      <c r="C112" t="s">
        <v>39</v>
      </c>
      <c r="D112" t="s">
        <v>322</v>
      </c>
      <c r="E112" t="s">
        <v>321</v>
      </c>
    </row>
    <row r="113" spans="1:5" x14ac:dyDescent="0.25">
      <c r="A113" t="s">
        <v>323</v>
      </c>
      <c r="B113">
        <v>759</v>
      </c>
      <c r="C113" t="s">
        <v>39</v>
      </c>
      <c r="D113" t="s">
        <v>324</v>
      </c>
      <c r="E113" t="s">
        <v>323</v>
      </c>
    </row>
    <row r="114" spans="1:5" x14ac:dyDescent="0.25">
      <c r="A114" t="s">
        <v>325</v>
      </c>
      <c r="B114">
        <v>1859</v>
      </c>
      <c r="C114" t="s">
        <v>326</v>
      </c>
      <c r="D114" t="s">
        <v>327</v>
      </c>
      <c r="E114" t="s">
        <v>325</v>
      </c>
    </row>
    <row r="115" spans="1:5" x14ac:dyDescent="0.25">
      <c r="A115" t="s">
        <v>328</v>
      </c>
      <c r="B115">
        <v>4009</v>
      </c>
      <c r="C115" t="s">
        <v>32</v>
      </c>
      <c r="D115" t="s">
        <v>329</v>
      </c>
      <c r="E115" t="s">
        <v>328</v>
      </c>
    </row>
    <row r="116" spans="1:5" x14ac:dyDescent="0.25">
      <c r="A116" t="s">
        <v>330</v>
      </c>
      <c r="B116">
        <v>4009</v>
      </c>
      <c r="C116" t="s">
        <v>32</v>
      </c>
      <c r="D116" t="s">
        <v>331</v>
      </c>
      <c r="E116" t="s">
        <v>330</v>
      </c>
    </row>
    <row r="117" spans="1:5" x14ac:dyDescent="0.25">
      <c r="A117" t="s">
        <v>332</v>
      </c>
      <c r="B117">
        <v>3033</v>
      </c>
      <c r="C117" t="s">
        <v>12</v>
      </c>
      <c r="D117" t="s">
        <v>333</v>
      </c>
      <c r="E117" t="s">
        <v>332</v>
      </c>
    </row>
    <row r="118" spans="1:5" x14ac:dyDescent="0.25">
      <c r="A118" t="s">
        <v>334</v>
      </c>
      <c r="B118">
        <v>9929</v>
      </c>
      <c r="C118" t="s">
        <v>335</v>
      </c>
      <c r="D118" t="s">
        <v>336</v>
      </c>
      <c r="E118" t="s">
        <v>334</v>
      </c>
    </row>
    <row r="119" spans="1:5" x14ac:dyDescent="0.25">
      <c r="A119" t="s">
        <v>337</v>
      </c>
      <c r="B119">
        <v>1030</v>
      </c>
      <c r="C119" t="s">
        <v>338</v>
      </c>
      <c r="D119" t="s">
        <v>339</v>
      </c>
      <c r="E119" t="s">
        <v>337</v>
      </c>
    </row>
    <row r="120" spans="1:5" x14ac:dyDescent="0.25">
      <c r="A120" t="s">
        <v>340</v>
      </c>
      <c r="B120">
        <v>669</v>
      </c>
      <c r="C120" t="s">
        <v>341</v>
      </c>
      <c r="D120" t="s">
        <v>342</v>
      </c>
      <c r="E120" t="s">
        <v>340</v>
      </c>
    </row>
    <row r="121" spans="1:5" x14ac:dyDescent="0.25">
      <c r="A121" t="s">
        <v>343</v>
      </c>
      <c r="B121">
        <v>1830</v>
      </c>
      <c r="C121" t="s">
        <v>344</v>
      </c>
      <c r="D121" t="s">
        <v>345</v>
      </c>
      <c r="E121" t="s">
        <v>343</v>
      </c>
    </row>
    <row r="122" spans="1:5" x14ac:dyDescent="0.25">
      <c r="A122" t="s">
        <v>346</v>
      </c>
      <c r="B122">
        <v>1090</v>
      </c>
      <c r="C122" t="s">
        <v>347</v>
      </c>
      <c r="D122" t="s">
        <v>348</v>
      </c>
      <c r="E122" t="s">
        <v>346</v>
      </c>
    </row>
    <row r="123" spans="1:5" x14ac:dyDescent="0.25">
      <c r="A123" t="s">
        <v>349</v>
      </c>
      <c r="B123">
        <v>1329</v>
      </c>
      <c r="C123" t="s">
        <v>15</v>
      </c>
      <c r="D123" t="s">
        <v>350</v>
      </c>
      <c r="E123" t="s">
        <v>349</v>
      </c>
    </row>
    <row r="124" spans="1:5" x14ac:dyDescent="0.25">
      <c r="A124" t="s">
        <v>351</v>
      </c>
      <c r="B124">
        <v>779</v>
      </c>
      <c r="C124" t="s">
        <v>352</v>
      </c>
      <c r="D124" t="s">
        <v>353</v>
      </c>
      <c r="E124" t="s">
        <v>351</v>
      </c>
    </row>
    <row r="125" spans="1:5" x14ac:dyDescent="0.25">
      <c r="A125" t="s">
        <v>354</v>
      </c>
      <c r="B125">
        <v>4369</v>
      </c>
      <c r="C125" t="s">
        <v>355</v>
      </c>
      <c r="D125" t="s">
        <v>356</v>
      </c>
      <c r="E125" t="s">
        <v>354</v>
      </c>
    </row>
    <row r="126" spans="1:5" x14ac:dyDescent="0.25">
      <c r="A126" t="s">
        <v>357</v>
      </c>
      <c r="B126">
        <v>9847</v>
      </c>
      <c r="C126" t="s">
        <v>358</v>
      </c>
      <c r="D126" t="s">
        <v>359</v>
      </c>
      <c r="E126" t="s">
        <v>357</v>
      </c>
    </row>
    <row r="127" spans="1:5" x14ac:dyDescent="0.25">
      <c r="A127" t="s">
        <v>360</v>
      </c>
      <c r="B127">
        <v>869</v>
      </c>
      <c r="C127" t="s">
        <v>361</v>
      </c>
      <c r="D127" t="s">
        <v>362</v>
      </c>
      <c r="E127" t="s">
        <v>360</v>
      </c>
    </row>
    <row r="128" spans="1:5" x14ac:dyDescent="0.25">
      <c r="A128" t="s">
        <v>363</v>
      </c>
      <c r="B128">
        <v>869</v>
      </c>
      <c r="C128" t="s">
        <v>361</v>
      </c>
      <c r="D128" t="s">
        <v>364</v>
      </c>
      <c r="E128" t="s">
        <v>363</v>
      </c>
    </row>
    <row r="129" spans="1:5" x14ac:dyDescent="0.25">
      <c r="A129" t="s">
        <v>365</v>
      </c>
      <c r="B129">
        <v>839</v>
      </c>
      <c r="C129" t="s">
        <v>366</v>
      </c>
      <c r="D129" t="s">
        <v>367</v>
      </c>
      <c r="E129" t="s">
        <v>365</v>
      </c>
    </row>
    <row r="130" spans="1:5" x14ac:dyDescent="0.25">
      <c r="A130" t="s">
        <v>368</v>
      </c>
      <c r="B130">
        <v>2019</v>
      </c>
      <c r="C130" t="s">
        <v>369</v>
      </c>
      <c r="D130" t="s">
        <v>370</v>
      </c>
      <c r="E130" t="s">
        <v>368</v>
      </c>
    </row>
    <row r="131" spans="1:5" x14ac:dyDescent="0.25">
      <c r="A131" t="s">
        <v>371</v>
      </c>
      <c r="B131">
        <v>679</v>
      </c>
      <c r="C131" t="s">
        <v>8</v>
      </c>
      <c r="D131" t="s">
        <v>372</v>
      </c>
      <c r="E131" t="s">
        <v>371</v>
      </c>
    </row>
    <row r="132" spans="1:5" x14ac:dyDescent="0.25">
      <c r="A132" t="s">
        <v>371</v>
      </c>
      <c r="B132">
        <v>219</v>
      </c>
      <c r="C132" t="s">
        <v>373</v>
      </c>
      <c r="D132" t="s">
        <v>374</v>
      </c>
      <c r="E132" t="s">
        <v>371</v>
      </c>
    </row>
    <row r="133" spans="1:5" x14ac:dyDescent="0.25">
      <c r="A133" t="s">
        <v>375</v>
      </c>
      <c r="B133">
        <v>1869</v>
      </c>
      <c r="C133" t="s">
        <v>25</v>
      </c>
      <c r="D133" t="s">
        <v>376</v>
      </c>
      <c r="E133" t="s">
        <v>375</v>
      </c>
    </row>
    <row r="134" spans="1:5" x14ac:dyDescent="0.25">
      <c r="A134" t="s">
        <v>377</v>
      </c>
      <c r="B134">
        <v>1939</v>
      </c>
      <c r="C134" t="s">
        <v>16</v>
      </c>
      <c r="D134" t="s">
        <v>378</v>
      </c>
      <c r="E134" t="s">
        <v>377</v>
      </c>
    </row>
    <row r="135" spans="1:5" x14ac:dyDescent="0.25">
      <c r="A135" t="s">
        <v>379</v>
      </c>
      <c r="B135">
        <v>1909</v>
      </c>
      <c r="C135" t="s">
        <v>13</v>
      </c>
      <c r="D135" t="s">
        <v>380</v>
      </c>
      <c r="E135" t="s">
        <v>379</v>
      </c>
    </row>
    <row r="136" spans="1:5" x14ac:dyDescent="0.25">
      <c r="A136" t="s">
        <v>381</v>
      </c>
      <c r="B136">
        <v>1909</v>
      </c>
      <c r="C136" t="s">
        <v>13</v>
      </c>
      <c r="D136" t="s">
        <v>382</v>
      </c>
      <c r="E136" t="s">
        <v>381</v>
      </c>
    </row>
    <row r="137" spans="1:5" x14ac:dyDescent="0.25">
      <c r="A137" t="s">
        <v>383</v>
      </c>
      <c r="B137">
        <v>169</v>
      </c>
      <c r="C137" t="s">
        <v>384</v>
      </c>
      <c r="D137" t="s">
        <v>385</v>
      </c>
      <c r="E137" t="s">
        <v>383</v>
      </c>
    </row>
    <row r="138" spans="1:5" x14ac:dyDescent="0.25">
      <c r="A138" t="s">
        <v>386</v>
      </c>
      <c r="B138">
        <v>169</v>
      </c>
      <c r="C138" t="s">
        <v>384</v>
      </c>
      <c r="D138" t="s">
        <v>387</v>
      </c>
      <c r="E138" t="s">
        <v>386</v>
      </c>
    </row>
    <row r="139" spans="1:5" x14ac:dyDescent="0.25">
      <c r="A139" t="s">
        <v>388</v>
      </c>
      <c r="B139">
        <v>1050</v>
      </c>
      <c r="C139" t="s">
        <v>389</v>
      </c>
      <c r="D139" t="s">
        <v>390</v>
      </c>
      <c r="E139" t="s">
        <v>388</v>
      </c>
    </row>
    <row r="140" spans="1:5" x14ac:dyDescent="0.25">
      <c r="A140" t="s">
        <v>391</v>
      </c>
      <c r="B140">
        <v>1329</v>
      </c>
      <c r="C140" t="s">
        <v>15</v>
      </c>
      <c r="D140" t="s">
        <v>392</v>
      </c>
      <c r="E140" t="s">
        <v>391</v>
      </c>
    </row>
    <row r="141" spans="1:5" x14ac:dyDescent="0.25">
      <c r="A141" t="s">
        <v>393</v>
      </c>
      <c r="B141">
        <v>2079</v>
      </c>
      <c r="C141" t="s">
        <v>23</v>
      </c>
      <c r="D141" t="s">
        <v>394</v>
      </c>
      <c r="E141" t="s">
        <v>393</v>
      </c>
    </row>
    <row r="142" spans="1:5" x14ac:dyDescent="0.25">
      <c r="A142" t="s">
        <v>395</v>
      </c>
      <c r="B142">
        <v>1449</v>
      </c>
      <c r="C142" t="s">
        <v>396</v>
      </c>
      <c r="D142" t="s">
        <v>397</v>
      </c>
      <c r="E142" t="s">
        <v>395</v>
      </c>
    </row>
    <row r="143" spans="1:5" x14ac:dyDescent="0.25">
      <c r="A143" t="s">
        <v>398</v>
      </c>
      <c r="B143">
        <v>2349</v>
      </c>
      <c r="C143" t="s">
        <v>399</v>
      </c>
      <c r="D143" t="s">
        <v>400</v>
      </c>
      <c r="E143" t="s">
        <v>398</v>
      </c>
    </row>
    <row r="144" spans="1:5" x14ac:dyDescent="0.25">
      <c r="A144" t="s">
        <v>401</v>
      </c>
      <c r="B144">
        <v>2249</v>
      </c>
      <c r="C144" t="s">
        <v>402</v>
      </c>
      <c r="D144" t="s">
        <v>403</v>
      </c>
      <c r="E144" t="s">
        <v>401</v>
      </c>
    </row>
    <row r="145" spans="1:5" x14ac:dyDescent="0.25">
      <c r="A145" t="s">
        <v>404</v>
      </c>
      <c r="B145">
        <v>1969</v>
      </c>
      <c r="C145" t="s">
        <v>314</v>
      </c>
      <c r="D145" t="s">
        <v>405</v>
      </c>
      <c r="E145" t="s">
        <v>404</v>
      </c>
    </row>
    <row r="146" spans="1:5" x14ac:dyDescent="0.25">
      <c r="A146" t="s">
        <v>406</v>
      </c>
      <c r="B146">
        <v>1569</v>
      </c>
      <c r="C146" t="s">
        <v>252</v>
      </c>
      <c r="D146" t="s">
        <v>407</v>
      </c>
      <c r="E146" t="s">
        <v>406</v>
      </c>
    </row>
    <row r="147" spans="1:5" x14ac:dyDescent="0.25">
      <c r="A147" t="s">
        <v>408</v>
      </c>
      <c r="B147">
        <v>1919</v>
      </c>
      <c r="C147" t="s">
        <v>38</v>
      </c>
      <c r="D147" t="s">
        <v>409</v>
      </c>
      <c r="E147" t="s">
        <v>408</v>
      </c>
    </row>
    <row r="148" spans="1:5" x14ac:dyDescent="0.25">
      <c r="A148" t="s">
        <v>410</v>
      </c>
      <c r="B148">
        <v>2229</v>
      </c>
      <c r="C148" t="s">
        <v>411</v>
      </c>
      <c r="D148" t="s">
        <v>412</v>
      </c>
      <c r="E148" t="s">
        <v>410</v>
      </c>
    </row>
    <row r="149" spans="1:5" x14ac:dyDescent="0.25">
      <c r="A149" t="s">
        <v>413</v>
      </c>
      <c r="B149">
        <v>299</v>
      </c>
      <c r="C149" t="s">
        <v>14</v>
      </c>
      <c r="D149" t="s">
        <v>414</v>
      </c>
      <c r="E149" t="s">
        <v>413</v>
      </c>
    </row>
    <row r="150" spans="1:5" x14ac:dyDescent="0.25">
      <c r="A150" t="s">
        <v>415</v>
      </c>
      <c r="B150">
        <v>889</v>
      </c>
      <c r="C150" t="s">
        <v>40</v>
      </c>
      <c r="D150" t="s">
        <v>416</v>
      </c>
      <c r="E150" t="s">
        <v>415</v>
      </c>
    </row>
    <row r="151" spans="1:5" x14ac:dyDescent="0.25">
      <c r="A151" t="s">
        <v>417</v>
      </c>
      <c r="B151">
        <v>3719</v>
      </c>
      <c r="C151" t="s">
        <v>21</v>
      </c>
      <c r="D151" t="s">
        <v>418</v>
      </c>
      <c r="E151" t="s">
        <v>417</v>
      </c>
    </row>
    <row r="152" spans="1:5" x14ac:dyDescent="0.25">
      <c r="A152" t="s">
        <v>419</v>
      </c>
      <c r="B152">
        <v>1809</v>
      </c>
      <c r="C152" t="s">
        <v>5</v>
      </c>
      <c r="D152" t="s">
        <v>420</v>
      </c>
      <c r="E152" t="s">
        <v>419</v>
      </c>
    </row>
    <row r="153" spans="1:5" x14ac:dyDescent="0.25">
      <c r="A153" t="s">
        <v>421</v>
      </c>
      <c r="B153">
        <v>4059</v>
      </c>
      <c r="C153" t="s">
        <v>42</v>
      </c>
      <c r="D153" t="s">
        <v>422</v>
      </c>
      <c r="E153" t="s">
        <v>421</v>
      </c>
    </row>
    <row r="154" spans="1:5" x14ac:dyDescent="0.25">
      <c r="A154" t="s">
        <v>423</v>
      </c>
      <c r="B154">
        <v>4029</v>
      </c>
      <c r="C154" t="s">
        <v>424</v>
      </c>
      <c r="D154" t="s">
        <v>425</v>
      </c>
      <c r="E154" t="s">
        <v>423</v>
      </c>
    </row>
    <row r="155" spans="1:5" x14ac:dyDescent="0.25">
      <c r="A155" t="s">
        <v>426</v>
      </c>
      <c r="B155">
        <v>4009</v>
      </c>
      <c r="C155" t="s">
        <v>32</v>
      </c>
      <c r="D155" t="s">
        <v>427</v>
      </c>
      <c r="E155" t="s">
        <v>426</v>
      </c>
    </row>
    <row r="156" spans="1:5" x14ac:dyDescent="0.25">
      <c r="A156" t="s">
        <v>428</v>
      </c>
      <c r="B156">
        <v>9119</v>
      </c>
      <c r="C156" t="s">
        <v>18</v>
      </c>
      <c r="D156" t="s">
        <v>429</v>
      </c>
      <c r="E156" t="s">
        <v>428</v>
      </c>
    </row>
    <row r="157" spans="1:5" x14ac:dyDescent="0.25">
      <c r="A157" t="s">
        <v>430</v>
      </c>
      <c r="B157">
        <v>2369</v>
      </c>
      <c r="C157" t="s">
        <v>431</v>
      </c>
      <c r="D157" t="s">
        <v>432</v>
      </c>
      <c r="E157" t="s">
        <v>430</v>
      </c>
    </row>
    <row r="158" spans="1:5" x14ac:dyDescent="0.25">
      <c r="A158" t="s">
        <v>433</v>
      </c>
      <c r="B158">
        <v>9119</v>
      </c>
      <c r="C158" t="s">
        <v>18</v>
      </c>
      <c r="D158" t="s">
        <v>434</v>
      </c>
      <c r="E158" t="s">
        <v>433</v>
      </c>
    </row>
    <row r="159" spans="1:5" x14ac:dyDescent="0.25">
      <c r="A159" t="s">
        <v>435</v>
      </c>
      <c r="B159">
        <v>3719</v>
      </c>
      <c r="C159" t="s">
        <v>21</v>
      </c>
      <c r="D159" t="s">
        <v>436</v>
      </c>
      <c r="E159" t="s">
        <v>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5EB8-72E6-4EE8-BE59-C6F8C6D7BCBE}">
  <dimension ref="A1:C125"/>
  <sheetViews>
    <sheetView topLeftCell="A52" workbookViewId="0">
      <selection activeCell="M112" sqref="M112"/>
    </sheetView>
  </sheetViews>
  <sheetFormatPr defaultRowHeight="15" x14ac:dyDescent="0.25"/>
  <sheetData>
    <row r="1" spans="1:3" x14ac:dyDescent="0.25">
      <c r="A1" s="42" t="s">
        <v>437</v>
      </c>
      <c r="B1" s="43"/>
      <c r="C1" s="44"/>
    </row>
    <row r="2" spans="1:3" x14ac:dyDescent="0.25">
      <c r="A2" s="2">
        <v>96</v>
      </c>
      <c r="B2" t="s">
        <v>442</v>
      </c>
      <c r="C2" s="3" t="s">
        <v>437</v>
      </c>
    </row>
    <row r="3" spans="1:3" x14ac:dyDescent="0.25">
      <c r="A3" s="2">
        <v>97</v>
      </c>
      <c r="B3" t="s">
        <v>349</v>
      </c>
      <c r="C3" s="3" t="s">
        <v>437</v>
      </c>
    </row>
    <row r="4" spans="1:3" x14ac:dyDescent="0.25">
      <c r="A4" s="2">
        <v>98</v>
      </c>
      <c r="B4" t="s">
        <v>259</v>
      </c>
      <c r="C4" s="3" t="s">
        <v>437</v>
      </c>
    </row>
    <row r="5" spans="1:3" x14ac:dyDescent="0.25">
      <c r="A5" s="2">
        <v>99</v>
      </c>
      <c r="B5" t="s">
        <v>349</v>
      </c>
      <c r="C5" s="3" t="s">
        <v>437</v>
      </c>
    </row>
    <row r="6" spans="1:3" x14ac:dyDescent="0.25">
      <c r="A6" s="2">
        <v>100</v>
      </c>
      <c r="B6" t="s">
        <v>443</v>
      </c>
      <c r="C6" s="3" t="s">
        <v>437</v>
      </c>
    </row>
    <row r="7" spans="1:3" x14ac:dyDescent="0.25">
      <c r="A7" s="2">
        <v>101</v>
      </c>
      <c r="C7" s="3" t="s">
        <v>437</v>
      </c>
    </row>
    <row r="8" spans="1:3" x14ac:dyDescent="0.25">
      <c r="A8" s="2">
        <v>102</v>
      </c>
      <c r="B8" t="s">
        <v>325</v>
      </c>
      <c r="C8" s="3" t="s">
        <v>437</v>
      </c>
    </row>
    <row r="9" spans="1:3" x14ac:dyDescent="0.25">
      <c r="A9" s="2">
        <v>103</v>
      </c>
      <c r="B9" t="s">
        <v>220</v>
      </c>
      <c r="C9" s="3" t="s">
        <v>437</v>
      </c>
    </row>
    <row r="10" spans="1:3" x14ac:dyDescent="0.25">
      <c r="A10" s="2">
        <v>104</v>
      </c>
      <c r="B10" t="s">
        <v>313</v>
      </c>
      <c r="C10" s="3" t="s">
        <v>437</v>
      </c>
    </row>
    <row r="11" spans="1:3" x14ac:dyDescent="0.25">
      <c r="A11" s="2">
        <v>105</v>
      </c>
      <c r="B11" t="s">
        <v>220</v>
      </c>
      <c r="C11" s="3" t="s">
        <v>437</v>
      </c>
    </row>
    <row r="12" spans="1:3" x14ac:dyDescent="0.25">
      <c r="A12" s="2">
        <v>106</v>
      </c>
      <c r="B12" t="s">
        <v>149</v>
      </c>
      <c r="C12" s="3" t="s">
        <v>437</v>
      </c>
    </row>
    <row r="13" spans="1:3" x14ac:dyDescent="0.25">
      <c r="A13" s="2">
        <v>107</v>
      </c>
      <c r="B13" t="s">
        <v>303</v>
      </c>
      <c r="C13" s="3" t="s">
        <v>437</v>
      </c>
    </row>
    <row r="14" spans="1:3" x14ac:dyDescent="0.25">
      <c r="A14" s="2">
        <v>108</v>
      </c>
      <c r="C14" s="3" t="s">
        <v>437</v>
      </c>
    </row>
    <row r="15" spans="1:3" x14ac:dyDescent="0.25">
      <c r="A15" s="2">
        <v>109</v>
      </c>
      <c r="B15" t="s">
        <v>143</v>
      </c>
      <c r="C15" s="3" t="s">
        <v>437</v>
      </c>
    </row>
    <row r="16" spans="1:3" x14ac:dyDescent="0.25">
      <c r="A16" s="2">
        <v>110</v>
      </c>
      <c r="B16" t="s">
        <v>188</v>
      </c>
      <c r="C16" s="3" t="s">
        <v>437</v>
      </c>
    </row>
    <row r="17" spans="1:3" x14ac:dyDescent="0.25">
      <c r="A17" s="2">
        <v>111</v>
      </c>
      <c r="B17" t="s">
        <v>164</v>
      </c>
      <c r="C17" s="3" t="s">
        <v>437</v>
      </c>
    </row>
    <row r="18" spans="1:3" x14ac:dyDescent="0.25">
      <c r="A18" s="2">
        <v>112</v>
      </c>
      <c r="B18" t="s">
        <v>346</v>
      </c>
      <c r="C18" s="3" t="s">
        <v>437</v>
      </c>
    </row>
    <row r="19" spans="1:3" x14ac:dyDescent="0.25">
      <c r="A19" s="2">
        <v>113</v>
      </c>
      <c r="B19" t="s">
        <v>340</v>
      </c>
      <c r="C19" s="3" t="s">
        <v>437</v>
      </c>
    </row>
    <row r="20" spans="1:3" x14ac:dyDescent="0.25">
      <c r="A20" s="2">
        <v>114</v>
      </c>
      <c r="B20" t="s">
        <v>104</v>
      </c>
      <c r="C20" s="3" t="s">
        <v>437</v>
      </c>
    </row>
    <row r="21" spans="1:3" x14ac:dyDescent="0.25">
      <c r="A21" s="2">
        <v>115</v>
      </c>
      <c r="B21" t="s">
        <v>71</v>
      </c>
      <c r="C21" s="3" t="s">
        <v>437</v>
      </c>
    </row>
    <row r="22" spans="1:3" x14ac:dyDescent="0.25">
      <c r="A22" s="2">
        <v>116</v>
      </c>
      <c r="B22" t="s">
        <v>277</v>
      </c>
      <c r="C22" s="3" t="s">
        <v>437</v>
      </c>
    </row>
    <row r="23" spans="1:3" x14ac:dyDescent="0.25">
      <c r="A23" s="2">
        <v>117</v>
      </c>
      <c r="B23" t="s">
        <v>444</v>
      </c>
      <c r="C23" s="3" t="s">
        <v>437</v>
      </c>
    </row>
    <row r="24" spans="1:3" x14ac:dyDescent="0.25">
      <c r="A24" s="2">
        <v>118</v>
      </c>
      <c r="B24" t="s">
        <v>138</v>
      </c>
      <c r="C24" s="3" t="s">
        <v>437</v>
      </c>
    </row>
    <row r="25" spans="1:3" x14ac:dyDescent="0.25">
      <c r="A25" s="4">
        <v>119</v>
      </c>
      <c r="B25" s="5" t="s">
        <v>410</v>
      </c>
      <c r="C25" s="6" t="s">
        <v>437</v>
      </c>
    </row>
    <row r="26" spans="1:3" x14ac:dyDescent="0.25">
      <c r="A26" s="42" t="s">
        <v>438</v>
      </c>
      <c r="B26" s="43"/>
      <c r="C26" s="44"/>
    </row>
    <row r="27" spans="1:3" x14ac:dyDescent="0.25">
      <c r="A27" s="2">
        <v>122</v>
      </c>
      <c r="B27" t="s">
        <v>81</v>
      </c>
      <c r="C27" s="3" t="s">
        <v>438</v>
      </c>
    </row>
    <row r="28" spans="1:3" x14ac:dyDescent="0.25">
      <c r="A28" s="2">
        <v>123</v>
      </c>
      <c r="B28" t="s">
        <v>141</v>
      </c>
      <c r="C28" s="3" t="s">
        <v>438</v>
      </c>
    </row>
    <row r="29" spans="1:3" x14ac:dyDescent="0.25">
      <c r="A29" s="2">
        <v>124</v>
      </c>
      <c r="B29" t="s">
        <v>375</v>
      </c>
      <c r="C29" s="3" t="s">
        <v>438</v>
      </c>
    </row>
    <row r="30" spans="1:3" x14ac:dyDescent="0.25">
      <c r="A30" s="2">
        <v>125</v>
      </c>
      <c r="B30" t="s">
        <v>141</v>
      </c>
      <c r="C30" s="3" t="s">
        <v>438</v>
      </c>
    </row>
    <row r="31" spans="1:3" x14ac:dyDescent="0.25">
      <c r="A31" s="2">
        <v>126</v>
      </c>
      <c r="B31" t="s">
        <v>319</v>
      </c>
      <c r="C31" s="3" t="s">
        <v>438</v>
      </c>
    </row>
    <row r="32" spans="1:3" x14ac:dyDescent="0.25">
      <c r="A32" s="2">
        <v>127</v>
      </c>
      <c r="B32" t="s">
        <v>65</v>
      </c>
      <c r="C32" s="3" t="s">
        <v>438</v>
      </c>
    </row>
    <row r="33" spans="1:3" x14ac:dyDescent="0.25">
      <c r="A33" s="2">
        <v>128</v>
      </c>
      <c r="B33" t="s">
        <v>321</v>
      </c>
      <c r="C33" s="3" t="s">
        <v>438</v>
      </c>
    </row>
    <row r="34" spans="1:3" x14ac:dyDescent="0.25">
      <c r="A34" s="2">
        <v>129</v>
      </c>
      <c r="B34" t="s">
        <v>96</v>
      </c>
      <c r="C34" s="3" t="s">
        <v>438</v>
      </c>
    </row>
    <row r="35" spans="1:3" x14ac:dyDescent="0.25">
      <c r="A35" s="2">
        <v>130</v>
      </c>
      <c r="B35" t="s">
        <v>107</v>
      </c>
      <c r="C35" s="3" t="s">
        <v>438</v>
      </c>
    </row>
    <row r="36" spans="1:3" x14ac:dyDescent="0.25">
      <c r="A36" s="2">
        <v>131</v>
      </c>
      <c r="B36" t="s">
        <v>283</v>
      </c>
      <c r="C36" s="3" t="s">
        <v>438</v>
      </c>
    </row>
    <row r="37" spans="1:3" x14ac:dyDescent="0.25">
      <c r="A37" s="2">
        <v>132</v>
      </c>
      <c r="B37" t="s">
        <v>83</v>
      </c>
      <c r="C37" s="3" t="s">
        <v>438</v>
      </c>
    </row>
    <row r="38" spans="1:3" x14ac:dyDescent="0.25">
      <c r="A38" s="2">
        <v>133</v>
      </c>
      <c r="B38" t="s">
        <v>63</v>
      </c>
      <c r="C38" s="3" t="s">
        <v>438</v>
      </c>
    </row>
    <row r="39" spans="1:3" x14ac:dyDescent="0.25">
      <c r="A39" s="2">
        <v>134</v>
      </c>
      <c r="B39" t="s">
        <v>145</v>
      </c>
      <c r="C39" s="3" t="s">
        <v>438</v>
      </c>
    </row>
    <row r="40" spans="1:3" x14ac:dyDescent="0.25">
      <c r="A40" s="2">
        <v>135</v>
      </c>
      <c r="B40" t="s">
        <v>291</v>
      </c>
      <c r="C40" s="3" t="s">
        <v>438</v>
      </c>
    </row>
    <row r="41" spans="1:3" x14ac:dyDescent="0.25">
      <c r="A41" s="2">
        <v>136</v>
      </c>
      <c r="C41" s="3" t="s">
        <v>438</v>
      </c>
    </row>
    <row r="42" spans="1:3" x14ac:dyDescent="0.25">
      <c r="A42" s="2">
        <v>137</v>
      </c>
      <c r="B42" t="s">
        <v>91</v>
      </c>
      <c r="C42" s="3" t="s">
        <v>438</v>
      </c>
    </row>
    <row r="43" spans="1:3" x14ac:dyDescent="0.25">
      <c r="A43" s="2">
        <v>138</v>
      </c>
      <c r="B43" t="s">
        <v>179</v>
      </c>
      <c r="C43" s="3" t="s">
        <v>438</v>
      </c>
    </row>
    <row r="44" spans="1:3" x14ac:dyDescent="0.25">
      <c r="A44" s="2">
        <v>139</v>
      </c>
      <c r="B44" t="s">
        <v>351</v>
      </c>
      <c r="C44" s="3" t="s">
        <v>438</v>
      </c>
    </row>
    <row r="45" spans="1:3" x14ac:dyDescent="0.25">
      <c r="A45" s="2">
        <v>140</v>
      </c>
      <c r="B45" t="s">
        <v>247</v>
      </c>
      <c r="C45" s="3" t="s">
        <v>438</v>
      </c>
    </row>
    <row r="46" spans="1:3" x14ac:dyDescent="0.25">
      <c r="A46" s="2">
        <v>141</v>
      </c>
      <c r="B46" t="s">
        <v>293</v>
      </c>
      <c r="C46" s="3" t="s">
        <v>438</v>
      </c>
    </row>
    <row r="47" spans="1:3" x14ac:dyDescent="0.25">
      <c r="A47" s="2">
        <v>142</v>
      </c>
      <c r="B47" t="s">
        <v>328</v>
      </c>
      <c r="C47" s="3" t="s">
        <v>438</v>
      </c>
    </row>
    <row r="48" spans="1:3" x14ac:dyDescent="0.25">
      <c r="A48" s="2">
        <v>143</v>
      </c>
      <c r="B48" t="s">
        <v>59</v>
      </c>
      <c r="C48" s="3" t="s">
        <v>438</v>
      </c>
    </row>
    <row r="49" spans="1:3" x14ac:dyDescent="0.25">
      <c r="A49" s="2">
        <v>144</v>
      </c>
      <c r="B49" t="s">
        <v>330</v>
      </c>
      <c r="C49" s="3" t="s">
        <v>438</v>
      </c>
    </row>
    <row r="50" spans="1:3" x14ac:dyDescent="0.25">
      <c r="A50" s="4">
        <v>145</v>
      </c>
      <c r="B50" s="5" t="s">
        <v>316</v>
      </c>
      <c r="C50" s="6" t="s">
        <v>438</v>
      </c>
    </row>
    <row r="51" spans="1:3" x14ac:dyDescent="0.25">
      <c r="A51" s="42" t="s">
        <v>439</v>
      </c>
      <c r="B51" s="43"/>
      <c r="C51" s="44"/>
    </row>
    <row r="52" spans="1:3" x14ac:dyDescent="0.25">
      <c r="A52" s="2">
        <v>1</v>
      </c>
      <c r="B52" t="s">
        <v>52</v>
      </c>
      <c r="C52" s="3" t="s">
        <v>439</v>
      </c>
    </row>
    <row r="53" spans="1:3" x14ac:dyDescent="0.25">
      <c r="A53" s="2">
        <v>2</v>
      </c>
      <c r="B53" t="s">
        <v>117</v>
      </c>
      <c r="C53" s="3" t="s">
        <v>439</v>
      </c>
    </row>
    <row r="54" spans="1:3" x14ac:dyDescent="0.25">
      <c r="A54" s="2">
        <v>3</v>
      </c>
      <c r="B54" t="s">
        <v>332</v>
      </c>
      <c r="C54" s="3" t="s">
        <v>439</v>
      </c>
    </row>
    <row r="55" spans="1:3" x14ac:dyDescent="0.25">
      <c r="A55" s="2">
        <v>4</v>
      </c>
      <c r="C55" s="3" t="s">
        <v>439</v>
      </c>
    </row>
    <row r="56" spans="1:3" x14ac:dyDescent="0.25">
      <c r="A56" s="2">
        <v>5</v>
      </c>
      <c r="B56" t="s">
        <v>94</v>
      </c>
      <c r="C56" s="3" t="s">
        <v>439</v>
      </c>
    </row>
    <row r="57" spans="1:3" x14ac:dyDescent="0.25">
      <c r="A57" s="2">
        <v>6</v>
      </c>
      <c r="B57" t="s">
        <v>268</v>
      </c>
      <c r="C57" s="3" t="s">
        <v>439</v>
      </c>
    </row>
    <row r="58" spans="1:3" x14ac:dyDescent="0.25">
      <c r="A58" s="2">
        <v>7</v>
      </c>
      <c r="B58" t="s">
        <v>213</v>
      </c>
      <c r="C58" s="3" t="s">
        <v>439</v>
      </c>
    </row>
    <row r="59" spans="1:3" x14ac:dyDescent="0.25">
      <c r="A59" s="2">
        <v>8</v>
      </c>
      <c r="C59" s="3" t="s">
        <v>439</v>
      </c>
    </row>
    <row r="60" spans="1:3" x14ac:dyDescent="0.25">
      <c r="A60" s="2">
        <v>9</v>
      </c>
      <c r="B60" t="s">
        <v>123</v>
      </c>
      <c r="C60" s="3" t="s">
        <v>439</v>
      </c>
    </row>
    <row r="61" spans="1:3" x14ac:dyDescent="0.25">
      <c r="A61" s="2">
        <v>10</v>
      </c>
      <c r="B61" t="s">
        <v>199</v>
      </c>
      <c r="C61" s="3" t="s">
        <v>439</v>
      </c>
    </row>
    <row r="62" spans="1:3" x14ac:dyDescent="0.25">
      <c r="A62" s="2">
        <v>11</v>
      </c>
      <c r="B62" t="s">
        <v>181</v>
      </c>
      <c r="C62" s="3" t="s">
        <v>439</v>
      </c>
    </row>
    <row r="63" spans="1:3" x14ac:dyDescent="0.25">
      <c r="A63" s="2">
        <v>12</v>
      </c>
      <c r="B63" t="s">
        <v>381</v>
      </c>
      <c r="C63" s="3" t="s">
        <v>439</v>
      </c>
    </row>
    <row r="64" spans="1:3" x14ac:dyDescent="0.25">
      <c r="A64" s="2">
        <v>13</v>
      </c>
      <c r="B64" t="s">
        <v>433</v>
      </c>
      <c r="C64" s="3" t="s">
        <v>439</v>
      </c>
    </row>
    <row r="65" spans="1:3" x14ac:dyDescent="0.25">
      <c r="A65" s="2">
        <v>14</v>
      </c>
      <c r="C65" s="3" t="s">
        <v>439</v>
      </c>
    </row>
    <row r="66" spans="1:3" x14ac:dyDescent="0.25">
      <c r="A66" s="2">
        <v>15</v>
      </c>
      <c r="B66" t="s">
        <v>208</v>
      </c>
      <c r="C66" s="3" t="s">
        <v>439</v>
      </c>
    </row>
    <row r="67" spans="1:3" x14ac:dyDescent="0.25">
      <c r="A67" s="2">
        <v>16</v>
      </c>
      <c r="B67" t="s">
        <v>132</v>
      </c>
      <c r="C67" s="3" t="s">
        <v>439</v>
      </c>
    </row>
    <row r="68" spans="1:3" x14ac:dyDescent="0.25">
      <c r="A68" s="2">
        <v>17</v>
      </c>
      <c r="B68" t="s">
        <v>89</v>
      </c>
      <c r="C68" s="3" t="s">
        <v>439</v>
      </c>
    </row>
    <row r="69" spans="1:3" x14ac:dyDescent="0.25">
      <c r="A69" s="2">
        <v>18</v>
      </c>
      <c r="C69" s="3" t="s">
        <v>439</v>
      </c>
    </row>
    <row r="70" spans="1:3" x14ac:dyDescent="0.25">
      <c r="A70" s="2">
        <v>19</v>
      </c>
      <c r="B70" t="s">
        <v>166</v>
      </c>
      <c r="C70" s="3" t="s">
        <v>439</v>
      </c>
    </row>
    <row r="71" spans="1:3" x14ac:dyDescent="0.25">
      <c r="A71" s="2">
        <v>20</v>
      </c>
      <c r="C71" s="3" t="s">
        <v>439</v>
      </c>
    </row>
    <row r="72" spans="1:3" x14ac:dyDescent="0.25">
      <c r="A72" s="2">
        <v>21</v>
      </c>
      <c r="B72" t="s">
        <v>147</v>
      </c>
      <c r="C72" s="3" t="s">
        <v>439</v>
      </c>
    </row>
    <row r="73" spans="1:3" x14ac:dyDescent="0.25">
      <c r="A73" s="2">
        <v>22</v>
      </c>
      <c r="B73" t="s">
        <v>50</v>
      </c>
      <c r="C73" s="3" t="s">
        <v>439</v>
      </c>
    </row>
    <row r="74" spans="1:3" x14ac:dyDescent="0.25">
      <c r="A74" s="2">
        <v>23</v>
      </c>
      <c r="B74" t="s">
        <v>147</v>
      </c>
      <c r="C74" s="3" t="s">
        <v>439</v>
      </c>
    </row>
    <row r="75" spans="1:3" x14ac:dyDescent="0.25">
      <c r="A75" s="4">
        <v>24</v>
      </c>
      <c r="B75" s="5" t="s">
        <v>234</v>
      </c>
      <c r="C75" s="6" t="s">
        <v>439</v>
      </c>
    </row>
    <row r="76" spans="1:3" x14ac:dyDescent="0.25">
      <c r="A76" s="42" t="s">
        <v>440</v>
      </c>
      <c r="B76" s="43"/>
      <c r="C76" s="44"/>
    </row>
    <row r="77" spans="1:3" x14ac:dyDescent="0.25">
      <c r="A77" s="2">
        <v>45</v>
      </c>
      <c r="B77" t="s">
        <v>323</v>
      </c>
      <c r="C77" s="3" t="s">
        <v>440</v>
      </c>
    </row>
    <row r="78" spans="1:3" x14ac:dyDescent="0.25">
      <c r="A78" s="2">
        <v>46</v>
      </c>
      <c r="B78" t="s">
        <v>206</v>
      </c>
      <c r="C78" s="3" t="s">
        <v>440</v>
      </c>
    </row>
    <row r="79" spans="1:3" x14ac:dyDescent="0.25">
      <c r="A79" s="2">
        <v>47</v>
      </c>
      <c r="B79" t="s">
        <v>231</v>
      </c>
      <c r="C79" s="3" t="s">
        <v>440</v>
      </c>
    </row>
    <row r="80" spans="1:3" x14ac:dyDescent="0.25">
      <c r="A80" s="2">
        <v>48</v>
      </c>
      <c r="B80" t="s">
        <v>102</v>
      </c>
      <c r="C80" s="3" t="s">
        <v>440</v>
      </c>
    </row>
    <row r="81" spans="1:3" x14ac:dyDescent="0.25">
      <c r="A81" s="2">
        <v>49</v>
      </c>
      <c r="B81" t="s">
        <v>256</v>
      </c>
      <c r="C81" s="3" t="s">
        <v>440</v>
      </c>
    </row>
    <row r="82" spans="1:3" x14ac:dyDescent="0.25">
      <c r="A82" s="2">
        <v>50</v>
      </c>
      <c r="B82" t="s">
        <v>308</v>
      </c>
      <c r="C82" s="3" t="s">
        <v>440</v>
      </c>
    </row>
    <row r="83" spans="1:3" x14ac:dyDescent="0.25">
      <c r="A83" s="2">
        <v>51</v>
      </c>
      <c r="B83" t="s">
        <v>218</v>
      </c>
      <c r="C83" s="3" t="s">
        <v>440</v>
      </c>
    </row>
    <row r="84" spans="1:3" x14ac:dyDescent="0.25">
      <c r="A84" s="2">
        <v>52</v>
      </c>
      <c r="B84" t="s">
        <v>112</v>
      </c>
      <c r="C84" s="3" t="s">
        <v>440</v>
      </c>
    </row>
    <row r="85" spans="1:3" x14ac:dyDescent="0.25">
      <c r="A85" s="2">
        <v>53</v>
      </c>
      <c r="B85" t="s">
        <v>393</v>
      </c>
      <c r="C85" s="3" t="s">
        <v>440</v>
      </c>
    </row>
    <row r="86" spans="1:3" x14ac:dyDescent="0.25">
      <c r="A86" s="2">
        <v>54</v>
      </c>
      <c r="B86" t="s">
        <v>110</v>
      </c>
      <c r="C86" s="3" t="s">
        <v>440</v>
      </c>
    </row>
    <row r="87" spans="1:3" x14ac:dyDescent="0.25">
      <c r="A87" s="2">
        <v>55</v>
      </c>
      <c r="B87" t="s">
        <v>295</v>
      </c>
      <c r="C87" s="3" t="s">
        <v>440</v>
      </c>
    </row>
    <row r="88" spans="1:3" x14ac:dyDescent="0.25">
      <c r="A88" s="2">
        <v>56</v>
      </c>
      <c r="B88" t="s">
        <v>237</v>
      </c>
      <c r="C88" s="3" t="s">
        <v>440</v>
      </c>
    </row>
    <row r="89" spans="1:3" x14ac:dyDescent="0.25">
      <c r="A89" s="2">
        <v>57</v>
      </c>
      <c r="B89" t="s">
        <v>78</v>
      </c>
      <c r="C89" s="3" t="s">
        <v>440</v>
      </c>
    </row>
    <row r="90" spans="1:3" x14ac:dyDescent="0.25">
      <c r="A90" s="2">
        <v>58</v>
      </c>
      <c r="B90" t="s">
        <v>73</v>
      </c>
      <c r="C90" s="3" t="s">
        <v>440</v>
      </c>
    </row>
    <row r="91" spans="1:3" x14ac:dyDescent="0.25">
      <c r="A91" s="2">
        <v>59</v>
      </c>
      <c r="B91" t="s">
        <v>61</v>
      </c>
      <c r="C91" s="3" t="s">
        <v>440</v>
      </c>
    </row>
    <row r="92" spans="1:3" x14ac:dyDescent="0.25">
      <c r="A92" s="2">
        <v>60</v>
      </c>
      <c r="B92" t="s">
        <v>216</v>
      </c>
      <c r="C92" s="3" t="s">
        <v>440</v>
      </c>
    </row>
    <row r="93" spans="1:3" x14ac:dyDescent="0.25">
      <c r="A93" s="2">
        <v>61</v>
      </c>
      <c r="B93" t="s">
        <v>47</v>
      </c>
      <c r="C93" s="3" t="s">
        <v>440</v>
      </c>
    </row>
    <row r="94" spans="1:3" x14ac:dyDescent="0.25">
      <c r="A94" s="2">
        <v>62</v>
      </c>
      <c r="B94" t="s">
        <v>159</v>
      </c>
      <c r="C94" s="3" t="s">
        <v>440</v>
      </c>
    </row>
    <row r="95" spans="1:3" x14ac:dyDescent="0.25">
      <c r="A95" s="2">
        <v>63</v>
      </c>
      <c r="B95" t="s">
        <v>126</v>
      </c>
      <c r="C95" s="3" t="s">
        <v>440</v>
      </c>
    </row>
    <row r="96" spans="1:3" x14ac:dyDescent="0.25">
      <c r="A96" s="2">
        <v>64</v>
      </c>
      <c r="B96" t="s">
        <v>249</v>
      </c>
      <c r="C96" s="3" t="s">
        <v>440</v>
      </c>
    </row>
    <row r="97" spans="1:3" x14ac:dyDescent="0.25">
      <c r="A97" s="2">
        <v>65</v>
      </c>
      <c r="B97" t="s">
        <v>415</v>
      </c>
      <c r="C97" s="3" t="s">
        <v>440</v>
      </c>
    </row>
    <row r="98" spans="1:3" x14ac:dyDescent="0.25">
      <c r="A98" s="2">
        <v>66</v>
      </c>
      <c r="B98" t="s">
        <v>419</v>
      </c>
      <c r="C98" s="3" t="s">
        <v>440</v>
      </c>
    </row>
    <row r="99" spans="1:3" x14ac:dyDescent="0.25">
      <c r="A99" s="2">
        <v>67</v>
      </c>
      <c r="B99" t="s">
        <v>114</v>
      </c>
      <c r="C99" s="3" t="s">
        <v>440</v>
      </c>
    </row>
    <row r="100" spans="1:3" x14ac:dyDescent="0.25">
      <c r="A100" s="4">
        <v>68</v>
      </c>
      <c r="B100" s="5" t="s">
        <v>377</v>
      </c>
      <c r="C100" s="6" t="s">
        <v>440</v>
      </c>
    </row>
    <row r="101" spans="1:3" x14ac:dyDescent="0.25">
      <c r="A101" s="42" t="s">
        <v>441</v>
      </c>
      <c r="B101" s="43"/>
      <c r="C101" s="44"/>
    </row>
    <row r="102" spans="1:3" x14ac:dyDescent="0.25">
      <c r="A102" s="2">
        <v>71</v>
      </c>
      <c r="B102" t="s">
        <v>98</v>
      </c>
      <c r="C102" s="3" t="s">
        <v>441</v>
      </c>
    </row>
    <row r="103" spans="1:3" x14ac:dyDescent="0.25">
      <c r="A103" s="2">
        <v>72</v>
      </c>
      <c r="B103" t="s">
        <v>98</v>
      </c>
      <c r="C103" s="3" t="s">
        <v>441</v>
      </c>
    </row>
    <row r="104" spans="1:3" x14ac:dyDescent="0.25">
      <c r="A104" s="2">
        <v>73</v>
      </c>
      <c r="B104" t="s">
        <v>194</v>
      </c>
      <c r="C104" s="3" t="s">
        <v>441</v>
      </c>
    </row>
    <row r="105" spans="1:3" x14ac:dyDescent="0.25">
      <c r="A105" s="2">
        <v>74</v>
      </c>
      <c r="B105" t="s">
        <v>98</v>
      </c>
      <c r="C105" s="3" t="s">
        <v>441</v>
      </c>
    </row>
    <row r="106" spans="1:3" x14ac:dyDescent="0.25">
      <c r="A106" s="2">
        <v>75</v>
      </c>
      <c r="B106" t="s">
        <v>368</v>
      </c>
      <c r="C106" s="3" t="s">
        <v>441</v>
      </c>
    </row>
    <row r="107" spans="1:3" x14ac:dyDescent="0.25">
      <c r="A107" s="2">
        <v>76</v>
      </c>
      <c r="B107" t="s">
        <v>75</v>
      </c>
      <c r="C107" s="3" t="s">
        <v>441</v>
      </c>
    </row>
    <row r="108" spans="1:3" x14ac:dyDescent="0.25">
      <c r="A108" s="2">
        <v>77</v>
      </c>
      <c r="B108" t="s">
        <v>445</v>
      </c>
      <c r="C108" s="3" t="s">
        <v>441</v>
      </c>
    </row>
    <row r="109" spans="1:3" x14ac:dyDescent="0.25">
      <c r="A109" s="2">
        <v>78</v>
      </c>
      <c r="B109" t="s">
        <v>428</v>
      </c>
      <c r="C109" s="3" t="s">
        <v>441</v>
      </c>
    </row>
    <row r="110" spans="1:3" x14ac:dyDescent="0.25">
      <c r="A110" s="2">
        <v>79</v>
      </c>
      <c r="B110" t="s">
        <v>161</v>
      </c>
      <c r="C110" s="3" t="s">
        <v>441</v>
      </c>
    </row>
    <row r="111" spans="1:3" x14ac:dyDescent="0.25">
      <c r="A111" s="2">
        <v>80</v>
      </c>
      <c r="B111" t="s">
        <v>446</v>
      </c>
      <c r="C111" s="3" t="s">
        <v>441</v>
      </c>
    </row>
    <row r="112" spans="1:3" x14ac:dyDescent="0.25">
      <c r="A112" s="2">
        <v>81</v>
      </c>
      <c r="B112" t="s">
        <v>271</v>
      </c>
      <c r="C112" s="3" t="s">
        <v>441</v>
      </c>
    </row>
    <row r="113" spans="1:3" x14ac:dyDescent="0.25">
      <c r="A113" s="2">
        <v>82</v>
      </c>
      <c r="B113" t="s">
        <v>363</v>
      </c>
      <c r="C113" s="3" t="s">
        <v>441</v>
      </c>
    </row>
    <row r="114" spans="1:3" x14ac:dyDescent="0.25">
      <c r="A114" s="2">
        <v>83</v>
      </c>
      <c r="B114" t="s">
        <v>67</v>
      </c>
      <c r="C114" s="3" t="s">
        <v>441</v>
      </c>
    </row>
    <row r="115" spans="1:3" x14ac:dyDescent="0.25">
      <c r="A115" s="2">
        <v>84</v>
      </c>
      <c r="B115" t="s">
        <v>371</v>
      </c>
      <c r="C115" s="3" t="s">
        <v>441</v>
      </c>
    </row>
    <row r="116" spans="1:3" x14ac:dyDescent="0.25">
      <c r="A116" s="2">
        <v>85</v>
      </c>
      <c r="B116" t="s">
        <v>401</v>
      </c>
      <c r="C116" s="3" t="s">
        <v>441</v>
      </c>
    </row>
    <row r="117" spans="1:3" x14ac:dyDescent="0.25">
      <c r="A117" s="2">
        <v>86</v>
      </c>
      <c r="B117" t="s">
        <v>222</v>
      </c>
      <c r="C117" s="3" t="s">
        <v>441</v>
      </c>
    </row>
    <row r="118" spans="1:3" x14ac:dyDescent="0.25">
      <c r="A118" s="2">
        <v>87</v>
      </c>
      <c r="B118" t="s">
        <v>157</v>
      </c>
      <c r="C118" s="3" t="s">
        <v>441</v>
      </c>
    </row>
    <row r="119" spans="1:3" x14ac:dyDescent="0.25">
      <c r="A119" s="2">
        <v>88</v>
      </c>
      <c r="B119" t="s">
        <v>254</v>
      </c>
      <c r="C119" s="3" t="s">
        <v>441</v>
      </c>
    </row>
    <row r="120" spans="1:3" x14ac:dyDescent="0.25">
      <c r="A120" s="2">
        <v>89</v>
      </c>
      <c r="C120" s="3" t="s">
        <v>441</v>
      </c>
    </row>
    <row r="121" spans="1:3" x14ac:dyDescent="0.25">
      <c r="A121" s="2">
        <v>90</v>
      </c>
      <c r="B121" t="s">
        <v>447</v>
      </c>
      <c r="C121" s="3" t="s">
        <v>441</v>
      </c>
    </row>
    <row r="122" spans="1:3" x14ac:dyDescent="0.25">
      <c r="A122" s="2">
        <v>91</v>
      </c>
      <c r="B122" t="s">
        <v>262</v>
      </c>
      <c r="C122" s="3" t="s">
        <v>441</v>
      </c>
    </row>
    <row r="123" spans="1:3" x14ac:dyDescent="0.25">
      <c r="A123" s="2">
        <v>92</v>
      </c>
      <c r="B123" t="s">
        <v>435</v>
      </c>
      <c r="C123" s="3" t="s">
        <v>441</v>
      </c>
    </row>
    <row r="124" spans="1:3" x14ac:dyDescent="0.25">
      <c r="A124" s="2">
        <v>93</v>
      </c>
      <c r="B124" t="s">
        <v>430</v>
      </c>
      <c r="C124" s="3" t="s">
        <v>441</v>
      </c>
    </row>
    <row r="125" spans="1:3" x14ac:dyDescent="0.25">
      <c r="A125" s="4">
        <v>94</v>
      </c>
      <c r="B125" s="5" t="s">
        <v>58</v>
      </c>
      <c r="C125" s="6" t="s">
        <v>441</v>
      </c>
    </row>
  </sheetData>
  <mergeCells count="5">
    <mergeCell ref="A1:C1"/>
    <mergeCell ref="A26:C26"/>
    <mergeCell ref="A51:C51"/>
    <mergeCell ref="A76:C76"/>
    <mergeCell ref="A101:C10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6CAF9-68EB-4656-B0B1-1DD6D9150E8C}">
  <sheetPr>
    <pageSetUpPr fitToPage="1"/>
  </sheetPr>
  <dimension ref="A1:L136"/>
  <sheetViews>
    <sheetView tabSelected="1" zoomScale="90" zoomScaleNormal="90" workbookViewId="0">
      <pane ySplit="4" topLeftCell="A5" activePane="bottomLeft" state="frozen"/>
      <selection pane="bottomLeft" activeCell="N29" sqref="N29"/>
    </sheetView>
  </sheetViews>
  <sheetFormatPr defaultRowHeight="15" x14ac:dyDescent="0.25"/>
  <cols>
    <col min="1" max="3" width="13.140625" customWidth="1"/>
    <col min="4" max="4" width="14" bestFit="1" customWidth="1"/>
    <col min="5" max="11" width="13.140625" customWidth="1"/>
  </cols>
  <sheetData>
    <row r="1" spans="1:11" ht="36" customHeight="1" x14ac:dyDescent="0.25">
      <c r="A1" s="40" t="s">
        <v>452</v>
      </c>
      <c r="B1" s="40"/>
      <c r="C1" s="40"/>
      <c r="D1" s="40"/>
      <c r="E1" s="40"/>
      <c r="F1" s="40"/>
      <c r="G1" s="40"/>
      <c r="H1" s="40"/>
      <c r="I1" s="40"/>
      <c r="J1" s="40"/>
      <c r="K1" s="40"/>
    </row>
    <row r="2" spans="1:11" ht="15.75" customHeight="1" x14ac:dyDescent="0.25">
      <c r="A2" s="41" t="s">
        <v>476</v>
      </c>
      <c r="B2" s="41"/>
      <c r="C2" s="41"/>
      <c r="D2" s="41"/>
      <c r="E2" s="41"/>
      <c r="F2" s="12"/>
      <c r="G2" s="41" t="s">
        <v>475</v>
      </c>
      <c r="H2" s="41"/>
      <c r="I2" s="41"/>
      <c r="J2" s="41"/>
      <c r="K2" s="41"/>
    </row>
    <row r="3" spans="1:11" ht="15.75" customHeight="1" x14ac:dyDescent="0.25">
      <c r="A3" s="41"/>
      <c r="B3" s="41"/>
      <c r="C3" s="41"/>
      <c r="D3" s="41"/>
      <c r="E3" s="41"/>
      <c r="F3" s="12"/>
      <c r="G3" s="41"/>
      <c r="H3" s="41"/>
      <c r="I3" s="41"/>
      <c r="J3" s="41"/>
      <c r="K3" s="41"/>
    </row>
    <row r="4" spans="1:11" ht="18" customHeight="1" thickBot="1" x14ac:dyDescent="0.3">
      <c r="A4" s="37">
        <f>Pivots!A4</f>
        <v>45717</v>
      </c>
      <c r="B4" s="38"/>
      <c r="C4" s="38"/>
      <c r="D4" s="38"/>
      <c r="E4" s="38"/>
      <c r="F4" s="13"/>
      <c r="G4" s="37">
        <f>Pivots!H4</f>
        <v>45715</v>
      </c>
      <c r="H4" s="38"/>
      <c r="I4" s="38"/>
      <c r="J4" s="38"/>
      <c r="K4" s="38"/>
    </row>
    <row r="5" spans="1:11" ht="18.75" x14ac:dyDescent="0.3">
      <c r="A5" s="36" t="s">
        <v>456</v>
      </c>
      <c r="B5" s="36"/>
      <c r="C5" s="36"/>
      <c r="D5" s="36"/>
      <c r="E5" s="36"/>
      <c r="F5" s="36"/>
      <c r="G5" s="36"/>
      <c r="H5" s="36"/>
      <c r="I5" s="36"/>
      <c r="J5" s="36"/>
      <c r="K5" s="36"/>
    </row>
    <row r="6" spans="1:11" ht="15.75" x14ac:dyDescent="0.25">
      <c r="B6" s="35" t="s">
        <v>453</v>
      </c>
      <c r="C6" s="35"/>
      <c r="D6" s="17">
        <v>0.58799999999999997</v>
      </c>
      <c r="H6" s="35" t="s">
        <v>453</v>
      </c>
      <c r="I6" s="35"/>
      <c r="J6" s="17">
        <v>0.58799999999999997</v>
      </c>
    </row>
    <row r="7" spans="1:11" ht="15.75" x14ac:dyDescent="0.25">
      <c r="B7" s="35" t="s">
        <v>454</v>
      </c>
      <c r="C7" s="35"/>
      <c r="D7" s="18">
        <f>GETPIVOTDATA("Sum of Total Utilization",Pivots!$A$26)</f>
        <v>0.66270580509411581</v>
      </c>
      <c r="H7" s="35" t="s">
        <v>454</v>
      </c>
      <c r="I7" s="35"/>
      <c r="J7" s="18">
        <f>GETPIVOTDATA("Sum of Total Utilization",Pivots!$H$26)</f>
        <v>0.67060431622696859</v>
      </c>
    </row>
    <row r="8" spans="1:11" ht="15.75" x14ac:dyDescent="0.25">
      <c r="B8" s="35" t="s">
        <v>455</v>
      </c>
      <c r="C8" s="35"/>
      <c r="D8" s="17">
        <f>D7-D6</f>
        <v>7.470580509411584E-2</v>
      </c>
      <c r="H8" s="35" t="s">
        <v>455</v>
      </c>
      <c r="I8" s="35"/>
      <c r="J8" s="17">
        <f>J7-J6</f>
        <v>8.2604316226968622E-2</v>
      </c>
    </row>
    <row r="10" spans="1:11" ht="15.75" x14ac:dyDescent="0.25">
      <c r="B10" s="33" t="s">
        <v>1</v>
      </c>
      <c r="C10" s="33"/>
      <c r="D10" s="20">
        <f>GETPIVOTDATA("Sum of Total Loads",Pivots!$A$26)</f>
        <v>178</v>
      </c>
      <c r="H10" s="33" t="s">
        <v>1</v>
      </c>
      <c r="I10" s="33"/>
      <c r="J10" s="20">
        <f>GETPIVOTDATA("Sum of Total Loads",Pivots!$H$26)</f>
        <v>27</v>
      </c>
    </row>
    <row r="11" spans="1:11" ht="15.75" x14ac:dyDescent="0.25">
      <c r="B11" s="33" t="s">
        <v>457</v>
      </c>
      <c r="C11" s="33"/>
      <c r="D11" s="21">
        <f>GETPIVOTDATA("Sum of Total Mvmt $",Pivots!$A$26)</f>
        <v>156294.87</v>
      </c>
      <c r="H11" s="33" t="s">
        <v>457</v>
      </c>
      <c r="I11" s="33"/>
      <c r="J11" s="21">
        <f>GETPIVOTDATA("Sum of Total Mvmt $",Pivots!$H$26)</f>
        <v>23084.609999999997</v>
      </c>
    </row>
    <row r="13" spans="1:11" ht="18.75" x14ac:dyDescent="0.3">
      <c r="A13" s="39" t="s">
        <v>458</v>
      </c>
      <c r="B13" s="39"/>
      <c r="C13" s="39"/>
      <c r="D13" s="39"/>
      <c r="E13" s="39"/>
      <c r="G13" s="39" t="s">
        <v>458</v>
      </c>
      <c r="H13" s="39"/>
      <c r="I13" s="39"/>
      <c r="J13" s="39"/>
      <c r="K13" s="39"/>
    </row>
    <row r="14" spans="1:11" ht="15.75" x14ac:dyDescent="0.25">
      <c r="A14" s="22" t="s">
        <v>469</v>
      </c>
      <c r="B14" s="22" t="s">
        <v>470</v>
      </c>
      <c r="C14" s="22" t="s">
        <v>471</v>
      </c>
      <c r="D14" s="22" t="s">
        <v>461</v>
      </c>
      <c r="E14" s="22" t="s">
        <v>472</v>
      </c>
      <c r="F14" s="23"/>
      <c r="G14" s="22" t="s">
        <v>469</v>
      </c>
      <c r="H14" s="22" t="s">
        <v>470</v>
      </c>
      <c r="I14" s="22" t="s">
        <v>471</v>
      </c>
      <c r="J14" s="22" t="s">
        <v>461</v>
      </c>
      <c r="K14" s="22" t="s">
        <v>472</v>
      </c>
    </row>
    <row r="15" spans="1:11" ht="15.75" x14ac:dyDescent="0.25">
      <c r="A15" s="19" t="str" cm="1">
        <f t="array" ref="A15:A19">Pivots!A27:A31</f>
        <v>PD5</v>
      </c>
      <c r="B15" s="18" cm="1">
        <f t="array" ref="B15:B19">Pivots!B27:B31</f>
        <v>0.71329116160723749</v>
      </c>
      <c r="C15" s="17">
        <f>B15-$D$6</f>
        <v>0.12529116160723752</v>
      </c>
      <c r="D15" s="21" cm="1">
        <f t="array" ref="D15:D19">Pivots!C27:C31</f>
        <v>70490.01999999999</v>
      </c>
      <c r="E15" s="24" cm="1">
        <f t="array" ref="E15:E19">Pivots!D27:D31</f>
        <v>55</v>
      </c>
      <c r="F15" s="23"/>
      <c r="G15" s="19" t="str" cm="1">
        <f t="array" ref="G15:G19">Pivots!H27:H31</f>
        <v>PD3</v>
      </c>
      <c r="H15" s="18" cm="1">
        <f t="array" ref="H15:H19">Pivots!I27:I31</f>
        <v>0.74872620005363366</v>
      </c>
      <c r="I15" s="17">
        <f>H15-$J$6</f>
        <v>0.16072620005363369</v>
      </c>
      <c r="J15" s="21" cm="1">
        <f t="array" ref="J15:J19">Pivots!J27:J31</f>
        <v>3745.93</v>
      </c>
      <c r="K15" s="24" cm="1">
        <f t="array" ref="K15:K19">Pivots!K27:K31</f>
        <v>4</v>
      </c>
    </row>
    <row r="16" spans="1:11" ht="15.75" x14ac:dyDescent="0.25">
      <c r="A16" s="25" t="str">
        <v>PD3</v>
      </c>
      <c r="B16" s="26">
        <v>0.68727220572354208</v>
      </c>
      <c r="C16" s="27">
        <f>B16-$D$6</f>
        <v>9.9272205723542117E-2</v>
      </c>
      <c r="D16" s="28">
        <v>32751.340000000004</v>
      </c>
      <c r="E16" s="29">
        <v>34</v>
      </c>
      <c r="F16" s="23"/>
      <c r="G16" s="25" t="str">
        <v>PD5</v>
      </c>
      <c r="H16" s="26">
        <v>0.73769151316922021</v>
      </c>
      <c r="I16" s="27">
        <f>H16-$J$6</f>
        <v>0.14969151316922025</v>
      </c>
      <c r="J16" s="28">
        <v>10267.14</v>
      </c>
      <c r="K16" s="29">
        <v>8</v>
      </c>
    </row>
    <row r="17" spans="1:12" ht="15.75" x14ac:dyDescent="0.25">
      <c r="A17" s="19" t="str">
        <v>PD2</v>
      </c>
      <c r="B17" s="18">
        <v>0.66409980496334653</v>
      </c>
      <c r="C17" s="17">
        <f>B17-$D$6</f>
        <v>7.6099804963346562E-2</v>
      </c>
      <c r="D17" s="21">
        <v>6544.8999999999987</v>
      </c>
      <c r="E17" s="24">
        <v>27</v>
      </c>
      <c r="F17" s="23"/>
      <c r="G17" s="19" t="str">
        <v>PD1</v>
      </c>
      <c r="H17" s="18">
        <v>0.64681377335155898</v>
      </c>
      <c r="I17" s="17">
        <f>H17-$J$6</f>
        <v>5.8813773351559018E-2</v>
      </c>
      <c r="J17" s="21">
        <v>3525.0200000000004</v>
      </c>
      <c r="K17" s="24">
        <v>9</v>
      </c>
    </row>
    <row r="18" spans="1:12" ht="15.75" x14ac:dyDescent="0.25">
      <c r="A18" s="25" t="str">
        <v>PD1</v>
      </c>
      <c r="B18" s="26">
        <v>0.63246422108899492</v>
      </c>
      <c r="C18" s="27">
        <f>B18-$D$6</f>
        <v>4.4464221088994949E-2</v>
      </c>
      <c r="D18" s="28">
        <v>20490.190000000006</v>
      </c>
      <c r="E18" s="29">
        <v>42</v>
      </c>
      <c r="F18" s="23"/>
      <c r="G18" s="25" t="str">
        <v>PD2</v>
      </c>
      <c r="H18" s="26">
        <v>0.58862826603325413</v>
      </c>
      <c r="I18" s="27">
        <f>H18-$J$6</f>
        <v>6.2826603325416563E-4</v>
      </c>
      <c r="J18" s="28">
        <v>687.19</v>
      </c>
      <c r="K18" s="29">
        <v>4</v>
      </c>
    </row>
    <row r="19" spans="1:12" ht="15.75" x14ac:dyDescent="0.25">
      <c r="A19" s="19" t="str">
        <v>PD4</v>
      </c>
      <c r="B19" s="18">
        <v>0.56458151937309531</v>
      </c>
      <c r="C19" s="17">
        <f>B19-$D$6</f>
        <v>-2.3418480626904659E-2</v>
      </c>
      <c r="D19" s="21">
        <v>26018.42</v>
      </c>
      <c r="E19" s="24">
        <v>20</v>
      </c>
      <c r="F19" s="23"/>
      <c r="G19" s="19" t="str">
        <v>PD4</v>
      </c>
      <c r="H19" s="18">
        <v>0.55421686746987953</v>
      </c>
      <c r="I19" s="17">
        <f>H19-$J$6</f>
        <v>-3.3783132530120441E-2</v>
      </c>
      <c r="J19" s="21">
        <v>4859.33</v>
      </c>
      <c r="K19" s="24">
        <v>2</v>
      </c>
    </row>
    <row r="20" spans="1:12" ht="15.75" x14ac:dyDescent="0.25">
      <c r="A20" s="23"/>
      <c r="B20" s="23"/>
      <c r="C20" s="23"/>
      <c r="D20" s="23"/>
      <c r="E20" s="23"/>
      <c r="F20" s="23"/>
      <c r="G20" s="23"/>
      <c r="H20" s="23"/>
      <c r="I20" s="23"/>
      <c r="J20" s="23"/>
      <c r="K20" s="23"/>
    </row>
    <row r="21" spans="1:12" ht="15.75" x14ac:dyDescent="0.25">
      <c r="A21" s="34" t="s">
        <v>459</v>
      </c>
      <c r="B21" s="34"/>
      <c r="C21" s="34"/>
      <c r="D21" s="34"/>
      <c r="E21" s="34"/>
      <c r="F21" s="23"/>
      <c r="G21" s="34" t="s">
        <v>459</v>
      </c>
      <c r="H21" s="34"/>
      <c r="I21" s="34"/>
      <c r="J21" s="34"/>
      <c r="K21" s="34"/>
    </row>
    <row r="22" spans="1:12" ht="15.75" x14ac:dyDescent="0.25">
      <c r="A22" s="22" t="s">
        <v>448</v>
      </c>
      <c r="B22" s="22" t="s">
        <v>473</v>
      </c>
      <c r="C22" s="22" t="s">
        <v>474</v>
      </c>
      <c r="D22" s="22" t="s">
        <v>470</v>
      </c>
      <c r="E22" s="22" t="s">
        <v>461</v>
      </c>
      <c r="F22" s="23"/>
      <c r="G22" s="22" t="s">
        <v>448</v>
      </c>
      <c r="H22" s="22" t="s">
        <v>473</v>
      </c>
      <c r="I22" s="22" t="s">
        <v>474</v>
      </c>
      <c r="J22" s="22" t="s">
        <v>470</v>
      </c>
      <c r="K22" s="22" t="s">
        <v>461</v>
      </c>
    </row>
    <row r="23" spans="1:12" ht="15.75" x14ac:dyDescent="0.25">
      <c r="A23" s="20" t="str" cm="1">
        <f t="array" ref="A23:E27">Pivots!A9:E13</f>
        <v>ALLPA P</v>
      </c>
      <c r="B23" s="20">
        <v>3288</v>
      </c>
      <c r="C23" s="20">
        <v>3830</v>
      </c>
      <c r="D23" s="18">
        <v>0.85848563968668412</v>
      </c>
      <c r="E23" s="21">
        <v>26</v>
      </c>
      <c r="F23" s="23"/>
      <c r="G23" s="20" t="str" cm="1">
        <f t="array" ref="G23:K27">Pivots!H9:L13</f>
        <v>NBACA D</v>
      </c>
      <c r="H23" s="20">
        <v>3264</v>
      </c>
      <c r="I23" s="20">
        <v>3818</v>
      </c>
      <c r="J23" s="18">
        <v>0.85489785227867998</v>
      </c>
      <c r="K23" s="21">
        <v>4645.13</v>
      </c>
    </row>
    <row r="24" spans="1:12" ht="15.75" x14ac:dyDescent="0.25">
      <c r="A24" s="30" t="str">
        <v>FLDIN T</v>
      </c>
      <c r="B24" s="30">
        <v>3216</v>
      </c>
      <c r="C24" s="30">
        <v>3830</v>
      </c>
      <c r="D24" s="26">
        <v>0.83968668407310709</v>
      </c>
      <c r="E24" s="28">
        <v>1172.45</v>
      </c>
      <c r="F24" s="23"/>
      <c r="G24" s="30" t="str">
        <v>SMAGA T</v>
      </c>
      <c r="H24" s="30">
        <v>3228</v>
      </c>
      <c r="I24" s="30">
        <v>3830</v>
      </c>
      <c r="J24" s="26">
        <v>0.84281984334203652</v>
      </c>
      <c r="K24" s="28">
        <v>1501.81</v>
      </c>
    </row>
    <row r="25" spans="1:12" ht="15.75" x14ac:dyDescent="0.25">
      <c r="A25" s="20" t="str">
        <v>NBACA D</v>
      </c>
      <c r="B25" s="20">
        <v>16006</v>
      </c>
      <c r="C25" s="20">
        <v>19138</v>
      </c>
      <c r="D25" s="18">
        <v>0.83634653568815964</v>
      </c>
      <c r="E25" s="21">
        <v>21120.729999999996</v>
      </c>
      <c r="F25" s="23"/>
      <c r="G25" s="20" t="str">
        <v>BURMD N</v>
      </c>
      <c r="H25" s="20">
        <v>3129</v>
      </c>
      <c r="I25" s="20">
        <v>3818</v>
      </c>
      <c r="J25" s="18">
        <v>0.81953902566788894</v>
      </c>
      <c r="K25" s="21">
        <v>332.94</v>
      </c>
    </row>
    <row r="26" spans="1:12" ht="15.75" x14ac:dyDescent="0.25">
      <c r="A26" s="30" t="str">
        <v>SMAGA T</v>
      </c>
      <c r="B26" s="30">
        <v>17330</v>
      </c>
      <c r="C26" s="30">
        <v>21132</v>
      </c>
      <c r="D26" s="26">
        <v>0.82008328601173575</v>
      </c>
      <c r="E26" s="28">
        <v>8017.85</v>
      </c>
      <c r="F26" s="23"/>
      <c r="G26" s="30" t="str">
        <v>NASNY P</v>
      </c>
      <c r="H26" s="30">
        <v>1506</v>
      </c>
      <c r="I26" s="30">
        <v>1982</v>
      </c>
      <c r="J26" s="26">
        <v>0.75983854692230068</v>
      </c>
      <c r="K26" s="28">
        <v>109.19</v>
      </c>
    </row>
    <row r="27" spans="1:12" ht="15.75" x14ac:dyDescent="0.25">
      <c r="A27" s="20" t="str">
        <v>EMPCA T</v>
      </c>
      <c r="B27" s="20">
        <v>11974</v>
      </c>
      <c r="C27" s="20">
        <v>15284</v>
      </c>
      <c r="D27" s="18">
        <v>0.78343365611096571</v>
      </c>
      <c r="E27" s="21">
        <v>17249.890000000003</v>
      </c>
      <c r="F27" s="23"/>
      <c r="G27" s="20" t="str">
        <v>EMPCA T</v>
      </c>
      <c r="H27" s="20">
        <v>2893</v>
      </c>
      <c r="I27" s="20">
        <v>3818</v>
      </c>
      <c r="J27" s="18">
        <v>0.75772655840754322</v>
      </c>
      <c r="K27" s="21">
        <v>4118.1400000000003</v>
      </c>
    </row>
    <row r="28" spans="1:12" ht="15.75" x14ac:dyDescent="0.25">
      <c r="A28" s="23"/>
      <c r="B28" s="23"/>
      <c r="C28" s="23"/>
      <c r="D28" s="23"/>
      <c r="E28" s="23"/>
      <c r="F28" s="23"/>
      <c r="G28" s="23"/>
      <c r="H28" s="23"/>
      <c r="I28" s="23"/>
      <c r="J28" s="23"/>
      <c r="K28" s="23"/>
    </row>
    <row r="29" spans="1:12" ht="15.75" x14ac:dyDescent="0.25">
      <c r="A29" s="32" t="s">
        <v>460</v>
      </c>
      <c r="B29" s="32"/>
      <c r="C29" s="32"/>
      <c r="D29" s="32"/>
      <c r="E29" s="32"/>
      <c r="F29" s="23"/>
      <c r="G29" s="32" t="s">
        <v>460</v>
      </c>
      <c r="H29" s="32"/>
      <c r="I29" s="32"/>
      <c r="J29" s="32"/>
      <c r="K29" s="32"/>
    </row>
    <row r="30" spans="1:12" ht="15.75" x14ac:dyDescent="0.25">
      <c r="A30" s="22" t="s">
        <v>448</v>
      </c>
      <c r="B30" s="22" t="s">
        <v>473</v>
      </c>
      <c r="C30" s="22" t="s">
        <v>474</v>
      </c>
      <c r="D30" s="22" t="s">
        <v>470</v>
      </c>
      <c r="E30" s="22" t="s">
        <v>461</v>
      </c>
      <c r="F30" s="23"/>
      <c r="G30" s="22" t="s">
        <v>448</v>
      </c>
      <c r="H30" s="22" t="s">
        <v>473</v>
      </c>
      <c r="I30" s="22" t="s">
        <v>474</v>
      </c>
      <c r="J30" s="22" t="s">
        <v>470</v>
      </c>
      <c r="K30" s="22" t="s">
        <v>461</v>
      </c>
    </row>
    <row r="31" spans="1:12" ht="15.75" x14ac:dyDescent="0.25">
      <c r="A31" s="20" t="str" cm="1">
        <f t="array" ref="A31:E35">Pivots!A18:E22</f>
        <v>CRBNJ N</v>
      </c>
      <c r="B31" s="20">
        <v>112</v>
      </c>
      <c r="C31" s="20">
        <v>3230</v>
      </c>
      <c r="D31" s="18">
        <v>3.4674922600619197E-2</v>
      </c>
      <c r="E31" s="21">
        <v>221.85</v>
      </c>
      <c r="F31" s="23"/>
      <c r="G31" s="20" t="str" cm="1">
        <f t="array" ref="G31:K35">Pivots!H18:L22</f>
        <v>SADNJ N</v>
      </c>
      <c r="H31" s="20">
        <v>632</v>
      </c>
      <c r="I31" s="20">
        <v>3830</v>
      </c>
      <c r="J31" s="18">
        <v>0.16501305483028719</v>
      </c>
      <c r="K31" s="21">
        <v>212</v>
      </c>
      <c r="L31" s="16"/>
    </row>
    <row r="32" spans="1:12" ht="15.75" x14ac:dyDescent="0.25">
      <c r="A32" s="30" t="str">
        <v>SDFAS D</v>
      </c>
      <c r="B32" s="30">
        <v>578</v>
      </c>
      <c r="C32" s="30">
        <v>3964</v>
      </c>
      <c r="D32" s="26">
        <v>0.14581231079717458</v>
      </c>
      <c r="E32" s="28">
        <v>1201.54</v>
      </c>
      <c r="F32" s="23"/>
      <c r="G32" s="30" t="str">
        <v>EZRPA N</v>
      </c>
      <c r="H32" s="30">
        <v>790</v>
      </c>
      <c r="I32" s="30">
        <v>3830</v>
      </c>
      <c r="J32" s="26">
        <v>0.20626631853785901</v>
      </c>
      <c r="K32" s="28">
        <v>182.58</v>
      </c>
    </row>
    <row r="33" spans="1:11" ht="15.75" x14ac:dyDescent="0.25">
      <c r="A33" s="20" t="str">
        <v>SADNJ N</v>
      </c>
      <c r="B33" s="20">
        <v>2514</v>
      </c>
      <c r="C33" s="20">
        <v>9630</v>
      </c>
      <c r="D33" s="18">
        <v>0.26105919003115263</v>
      </c>
      <c r="E33" s="21">
        <v>529.47</v>
      </c>
      <c r="F33" s="23"/>
      <c r="G33" s="20" t="str">
        <v>MEANJ N</v>
      </c>
      <c r="H33" s="20">
        <v>968</v>
      </c>
      <c r="I33" s="20">
        <v>3818</v>
      </c>
      <c r="J33" s="18">
        <v>0.25353588266107913</v>
      </c>
      <c r="K33" s="21">
        <v>214.2</v>
      </c>
    </row>
    <row r="34" spans="1:11" ht="15.75" x14ac:dyDescent="0.25">
      <c r="A34" s="30" t="str">
        <v>CHEMA T</v>
      </c>
      <c r="B34" s="30">
        <v>1021</v>
      </c>
      <c r="C34" s="30">
        <v>3230</v>
      </c>
      <c r="D34" s="26">
        <v>0.31609907120743036</v>
      </c>
      <c r="E34" s="28">
        <v>560.27</v>
      </c>
      <c r="F34" s="23"/>
      <c r="G34" s="30" t="str">
        <v>M43NY N</v>
      </c>
      <c r="H34" s="30">
        <v>2079</v>
      </c>
      <c r="I34" s="30">
        <v>3450</v>
      </c>
      <c r="J34" s="26">
        <v>0.6026086956521739</v>
      </c>
      <c r="K34" s="28">
        <v>184.37</v>
      </c>
    </row>
    <row r="35" spans="1:11" ht="15.75" x14ac:dyDescent="0.25">
      <c r="A35" s="20" t="str">
        <v>PHLPA P</v>
      </c>
      <c r="B35" s="20">
        <v>1246</v>
      </c>
      <c r="C35" s="20">
        <v>3830</v>
      </c>
      <c r="D35" s="18">
        <v>0.32532637075718018</v>
      </c>
      <c r="E35" s="21">
        <v>216.75</v>
      </c>
      <c r="F35" s="23"/>
      <c r="G35" s="20" t="str">
        <v>BAYNJ N</v>
      </c>
      <c r="H35" s="20">
        <v>5128</v>
      </c>
      <c r="I35" s="20">
        <v>7660</v>
      </c>
      <c r="J35" s="18">
        <v>0.66945169712793728</v>
      </c>
      <c r="K35" s="21">
        <v>408</v>
      </c>
    </row>
    <row r="36" spans="1:11" ht="15.75" thickBot="1" x14ac:dyDescent="0.3">
      <c r="A36" s="15"/>
      <c r="B36" s="15"/>
      <c r="H36" s="15"/>
    </row>
    <row r="37" spans="1:11" ht="18.75" customHeight="1" x14ac:dyDescent="0.3">
      <c r="A37" s="36" t="s">
        <v>477</v>
      </c>
      <c r="B37" s="36"/>
      <c r="C37" s="36"/>
      <c r="D37" s="36"/>
      <c r="E37" s="36"/>
      <c r="F37" s="36"/>
      <c r="G37" s="36"/>
      <c r="H37" s="36"/>
      <c r="I37" s="36"/>
      <c r="J37" s="36"/>
      <c r="K37" s="36"/>
    </row>
    <row r="38" spans="1:11" ht="18.75" x14ac:dyDescent="0.3">
      <c r="A38" s="39" t="s">
        <v>437</v>
      </c>
      <c r="B38" s="39"/>
      <c r="C38" s="39"/>
      <c r="D38" s="39"/>
      <c r="E38" s="39"/>
      <c r="F38" s="39"/>
      <c r="G38" s="39"/>
      <c r="H38" s="39"/>
      <c r="I38" s="39"/>
      <c r="J38" s="39"/>
      <c r="K38" s="39"/>
    </row>
    <row r="39" spans="1:11" ht="15.75" x14ac:dyDescent="0.25">
      <c r="B39" s="35" t="s">
        <v>453</v>
      </c>
      <c r="C39" s="35"/>
      <c r="D39" s="17">
        <v>0.58799999999999997</v>
      </c>
      <c r="H39" s="35" t="s">
        <v>453</v>
      </c>
      <c r="I39" s="35"/>
      <c r="J39" s="17">
        <v>0.58799999999999997</v>
      </c>
    </row>
    <row r="40" spans="1:11" ht="15.75" x14ac:dyDescent="0.25">
      <c r="B40" s="35" t="s">
        <v>454</v>
      </c>
      <c r="C40" s="35"/>
      <c r="D40" s="18">
        <f>_xlfn.XLOOKUP(A38,$A$14:$A$19,$B$14:$B$19)</f>
        <v>0.63246422108899492</v>
      </c>
      <c r="H40" s="35" t="s">
        <v>454</v>
      </c>
      <c r="I40" s="35"/>
      <c r="J40" s="18">
        <f>_xlfn.XLOOKUP(A38,$G$14:$G$19,$H$14:$H$19)</f>
        <v>0.64681377335155898</v>
      </c>
    </row>
    <row r="41" spans="1:11" ht="15.75" x14ac:dyDescent="0.25">
      <c r="B41" s="35" t="s">
        <v>455</v>
      </c>
      <c r="C41" s="35"/>
      <c r="D41" s="17">
        <f>D40-D39</f>
        <v>4.4464221088994949E-2</v>
      </c>
      <c r="H41" s="35" t="s">
        <v>455</v>
      </c>
      <c r="I41" s="35"/>
      <c r="J41" s="17">
        <f>J40-J39</f>
        <v>5.8813773351559018E-2</v>
      </c>
    </row>
    <row r="43" spans="1:11" ht="15.75" x14ac:dyDescent="0.25">
      <c r="B43" s="33" t="s">
        <v>1</v>
      </c>
      <c r="C43" s="33"/>
      <c r="D43" s="20">
        <f>_xlfn.XLOOKUP(A38,$A$14:$A$19,$E$14:$E$19)</f>
        <v>42</v>
      </c>
      <c r="H43" s="33" t="s">
        <v>1</v>
      </c>
      <c r="I43" s="33"/>
      <c r="J43" s="20">
        <f>_xlfn.XLOOKUP(A38,$G$14:$G$19,$K$14:$K$19)</f>
        <v>9</v>
      </c>
    </row>
    <row r="44" spans="1:11" ht="15.75" x14ac:dyDescent="0.25">
      <c r="B44" s="33" t="s">
        <v>457</v>
      </c>
      <c r="C44" s="33"/>
      <c r="D44" s="21">
        <f>_xlfn.XLOOKUP(A38,$A$14:$A$19,$D$14:$D$19)</f>
        <v>20490.190000000006</v>
      </c>
      <c r="H44" s="33" t="s">
        <v>457</v>
      </c>
      <c r="I44" s="33"/>
      <c r="J44" s="21">
        <f>_xlfn.XLOOKUP(A38,$G$14:$G$19,$J$14:$J$19)</f>
        <v>3525.0200000000004</v>
      </c>
    </row>
    <row r="46" spans="1:11" ht="15.75" x14ac:dyDescent="0.25">
      <c r="A46" s="34" t="s">
        <v>459</v>
      </c>
      <c r="B46" s="34"/>
      <c r="C46" s="34"/>
      <c r="D46" s="34"/>
      <c r="E46" s="34"/>
      <c r="G46" s="34" t="s">
        <v>459</v>
      </c>
      <c r="H46" s="34"/>
      <c r="I46" s="34"/>
      <c r="J46" s="34"/>
      <c r="K46" s="34"/>
    </row>
    <row r="47" spans="1:11" ht="15.75" x14ac:dyDescent="0.25">
      <c r="A47" s="22" t="s">
        <v>448</v>
      </c>
      <c r="B47" s="22" t="s">
        <v>473</v>
      </c>
      <c r="C47" s="22" t="s">
        <v>474</v>
      </c>
      <c r="D47" s="22" t="s">
        <v>470</v>
      </c>
      <c r="E47" s="22" t="s">
        <v>461</v>
      </c>
      <c r="G47" s="22" t="s">
        <v>448</v>
      </c>
      <c r="H47" s="22" t="s">
        <v>473</v>
      </c>
      <c r="I47" s="22" t="s">
        <v>474</v>
      </c>
      <c r="J47" s="22" t="s">
        <v>470</v>
      </c>
      <c r="K47" s="22" t="s">
        <v>461</v>
      </c>
    </row>
    <row r="48" spans="1:11" ht="15.75" x14ac:dyDescent="0.25">
      <c r="A48" s="20" t="str" cm="1">
        <f t="array" ref="A48:E50">Pivots!A37:E39</f>
        <v>FLDIN T</v>
      </c>
      <c r="B48" s="20">
        <v>3216</v>
      </c>
      <c r="C48" s="20">
        <v>3830</v>
      </c>
      <c r="D48" s="18">
        <v>0.83968668407310709</v>
      </c>
      <c r="E48" s="21">
        <v>1172.45</v>
      </c>
      <c r="G48" s="20" t="str">
        <f>IF(Pivots!H37&lt;&gt;"Grand Total",Pivots!H37,"")</f>
        <v>MEBNC T</v>
      </c>
      <c r="H48" s="20">
        <f>IF(G48&lt;&gt;"",Pivots!I37,"")</f>
        <v>5608</v>
      </c>
      <c r="I48" s="20">
        <f>IF($G$48&lt;&gt;"",Pivots!J37,"")</f>
        <v>7636</v>
      </c>
      <c r="J48" s="18">
        <f>IF($G$48&lt;&gt;"",Pivots!K37,"")</f>
        <v>0.73441592456783655</v>
      </c>
      <c r="K48" s="21">
        <f>IF($G$48&lt;&gt;"",Pivots!L37,"")</f>
        <v>1854.44</v>
      </c>
    </row>
    <row r="49" spans="1:11" ht="15.75" x14ac:dyDescent="0.25">
      <c r="A49" s="30" t="str">
        <v>MEBNC T</v>
      </c>
      <c r="B49" s="30">
        <v>17280</v>
      </c>
      <c r="C49" s="30">
        <v>22932</v>
      </c>
      <c r="D49" s="26">
        <v>0.75353218210361073</v>
      </c>
      <c r="E49" s="28">
        <v>5563.3200000000006</v>
      </c>
      <c r="G49" s="30" t="str">
        <f>IF(Pivots!H38&lt;&gt;"Grand Total",Pivots!H38,"")</f>
        <v>SYRNY N</v>
      </c>
      <c r="H49" s="30">
        <f>IF($G$49&lt;&gt;"",Pivots!I38,"")</f>
        <v>8348</v>
      </c>
      <c r="I49" s="30">
        <f>IF($G$49&lt;&gt;"",Pivots!J38,"")</f>
        <v>11600</v>
      </c>
      <c r="J49" s="26">
        <f>IF($G$49&lt;&gt;"",Pivots!K38,"")</f>
        <v>0.71965517241379307</v>
      </c>
      <c r="K49" s="28">
        <f>IF($G$49&lt;&gt;"",Pivots!L38,"")</f>
        <v>1080</v>
      </c>
    </row>
    <row r="50" spans="1:11" ht="15.75" x14ac:dyDescent="0.25">
      <c r="A50" s="20" t="str">
        <v>HASTX D</v>
      </c>
      <c r="B50" s="20">
        <v>5649</v>
      </c>
      <c r="C50" s="20">
        <v>7648</v>
      </c>
      <c r="D50" s="18">
        <v>0.73862447698744771</v>
      </c>
      <c r="E50" s="21">
        <v>5423.7</v>
      </c>
      <c r="G50" s="20" t="str">
        <f>IF(Pivots!H39&lt;&gt;"Grand Total",Pivots!H39,"")</f>
        <v>BAYNJ N</v>
      </c>
      <c r="H50" s="20">
        <f>IF($G$50&lt;&gt;"",Pivots!I39,"")</f>
        <v>5128</v>
      </c>
      <c r="I50" s="20">
        <f>IF($G$50&lt;&gt;"",Pivots!J39,"")</f>
        <v>7660</v>
      </c>
      <c r="J50" s="18">
        <f>IF($G$50&lt;&gt;"",Pivots!K39,"")</f>
        <v>0.66945169712793728</v>
      </c>
      <c r="K50" s="21">
        <f>IF($G$50&lt;&gt;"",Pivots!L39,"")</f>
        <v>408</v>
      </c>
    </row>
    <row r="51" spans="1:11" ht="15.75" x14ac:dyDescent="0.25">
      <c r="H51" s="23" t="str">
        <f>IF(G51&lt;&gt;"",Pivots!I40,"")</f>
        <v/>
      </c>
    </row>
    <row r="52" spans="1:11" ht="15.75" x14ac:dyDescent="0.25">
      <c r="A52" s="32" t="s">
        <v>460</v>
      </c>
      <c r="B52" s="32"/>
      <c r="C52" s="32"/>
      <c r="D52" s="32"/>
      <c r="E52" s="32"/>
      <c r="G52" s="32" t="s">
        <v>460</v>
      </c>
      <c r="H52" s="32"/>
      <c r="I52" s="32"/>
      <c r="J52" s="32"/>
      <c r="K52" s="32"/>
    </row>
    <row r="53" spans="1:11" ht="15.75" x14ac:dyDescent="0.25">
      <c r="A53" s="22" t="s">
        <v>448</v>
      </c>
      <c r="B53" s="22" t="s">
        <v>473</v>
      </c>
      <c r="C53" s="22" t="s">
        <v>474</v>
      </c>
      <c r="D53" s="22" t="s">
        <v>470</v>
      </c>
      <c r="E53" s="22" t="s">
        <v>461</v>
      </c>
      <c r="G53" s="22" t="s">
        <v>448</v>
      </c>
      <c r="H53" s="22" t="s">
        <v>473</v>
      </c>
      <c r="I53" s="22" t="s">
        <v>474</v>
      </c>
      <c r="J53" s="22" t="s">
        <v>470</v>
      </c>
      <c r="K53" s="22" t="s">
        <v>461</v>
      </c>
    </row>
    <row r="54" spans="1:11" ht="15.75" x14ac:dyDescent="0.25">
      <c r="A54" s="20" t="str" cm="1">
        <f t="array" ref="A54:E56">Pivots!A61:E63</f>
        <v>EZRPA N</v>
      </c>
      <c r="B54" s="20">
        <v>11233</v>
      </c>
      <c r="C54" s="20">
        <v>22968</v>
      </c>
      <c r="D54" s="18">
        <v>0.48907175200278646</v>
      </c>
      <c r="E54" s="21">
        <v>1095.74</v>
      </c>
      <c r="G54" s="20" t="str">
        <f>IF(Pivots!H77&lt;&gt;"Grand Total",Pivots!H77,"")</f>
        <v>EZRPA N</v>
      </c>
      <c r="H54" s="20">
        <f>IF($G$54&lt;&gt;"",Pivots!I77,"")</f>
        <v>790</v>
      </c>
      <c r="I54" s="20">
        <f>IF($G$54&lt;&gt;"",Pivots!J77,"")</f>
        <v>3830</v>
      </c>
      <c r="J54" s="18">
        <f>IF($G$54&lt;&gt;"",Pivots!K77,"")</f>
        <v>0.20626631853785901</v>
      </c>
      <c r="K54" s="21">
        <f>IF($G$54&lt;&gt;"",Pivots!L77,"")</f>
        <v>182.58</v>
      </c>
    </row>
    <row r="55" spans="1:11" ht="15.75" x14ac:dyDescent="0.25">
      <c r="A55" s="30" t="str">
        <v>SYRNY N</v>
      </c>
      <c r="B55" s="30">
        <v>38278</v>
      </c>
      <c r="C55" s="30">
        <v>61744</v>
      </c>
      <c r="D55" s="26">
        <v>0.61994687742938581</v>
      </c>
      <c r="E55" s="28">
        <v>5806.9800000000005</v>
      </c>
      <c r="G55" s="30" t="str">
        <f>IF(Pivots!H78&lt;&gt;"Grand Total",Pivots!H78,"")</f>
        <v>BAYNJ N</v>
      </c>
      <c r="H55" s="30">
        <f>IF($G$55&lt;&gt;"",Pivots!I78,"")</f>
        <v>5128</v>
      </c>
      <c r="I55" s="30">
        <f>IF($G$55&lt;&gt;"",Pivots!J78,"")</f>
        <v>7660</v>
      </c>
      <c r="J55" s="26">
        <f>IF($G$55&lt;&gt;"",Pivots!K78,"")</f>
        <v>0.66945169712793728</v>
      </c>
      <c r="K55" s="28">
        <f>IF($G$55&lt;&gt;"",Pivots!L78,"")</f>
        <v>408</v>
      </c>
    </row>
    <row r="56" spans="1:11" ht="15.75" x14ac:dyDescent="0.25">
      <c r="A56" s="20" t="str">
        <v>BAYNJ N</v>
      </c>
      <c r="B56" s="20">
        <v>16618</v>
      </c>
      <c r="C56" s="20">
        <v>26774</v>
      </c>
      <c r="D56" s="18">
        <v>0.6206767759766938</v>
      </c>
      <c r="E56" s="21">
        <v>1428</v>
      </c>
      <c r="G56" s="20" t="str">
        <f>IF(Pivots!H79&lt;&gt;"Grand Total",Pivots!H79,"")</f>
        <v>SYRNY N</v>
      </c>
      <c r="H56" s="20">
        <f>IF($G$56&lt;&gt;"",Pivots!I79,"")</f>
        <v>8348</v>
      </c>
      <c r="I56" s="20">
        <f>IF($G$56&lt;&gt;"",Pivots!J79,"")</f>
        <v>11600</v>
      </c>
      <c r="J56" s="18">
        <f>IF($G$56&lt;&gt;"",Pivots!K79,"")</f>
        <v>0.71965517241379307</v>
      </c>
      <c r="K56" s="21">
        <f>IF($G$56&lt;&gt;"",Pivots!L79,"")</f>
        <v>1080</v>
      </c>
    </row>
    <row r="57" spans="1:11" ht="15.75" thickBot="1" x14ac:dyDescent="0.3">
      <c r="A57" s="31"/>
      <c r="B57" s="31"/>
      <c r="C57" s="31"/>
      <c r="D57" s="31"/>
      <c r="E57" s="31"/>
      <c r="F57" s="31"/>
      <c r="G57" s="31"/>
      <c r="H57" s="31"/>
      <c r="I57" s="31"/>
      <c r="J57" s="31"/>
      <c r="K57" s="31"/>
    </row>
    <row r="58" spans="1:11" ht="18.75" x14ac:dyDescent="0.3">
      <c r="A58" s="36" t="s">
        <v>438</v>
      </c>
      <c r="B58" s="36"/>
      <c r="C58" s="36"/>
      <c r="D58" s="36"/>
      <c r="E58" s="36"/>
      <c r="F58" s="36"/>
      <c r="G58" s="36"/>
      <c r="H58" s="36"/>
      <c r="I58" s="36"/>
      <c r="J58" s="36"/>
      <c r="K58" s="36"/>
    </row>
    <row r="59" spans="1:11" ht="15.75" x14ac:dyDescent="0.25">
      <c r="B59" s="35" t="s">
        <v>453</v>
      </c>
      <c r="C59" s="35"/>
      <c r="D59" s="17">
        <v>0.58799999999999997</v>
      </c>
      <c r="H59" s="35" t="s">
        <v>453</v>
      </c>
      <c r="I59" s="35"/>
      <c r="J59" s="17">
        <v>0.58799999999999997</v>
      </c>
    </row>
    <row r="60" spans="1:11" ht="15.75" x14ac:dyDescent="0.25">
      <c r="B60" s="35" t="s">
        <v>454</v>
      </c>
      <c r="C60" s="35"/>
      <c r="D60" s="18">
        <f>_xlfn.XLOOKUP(A58,$A$14:$A$19,$B$14:$B$19)</f>
        <v>0.66409980496334653</v>
      </c>
      <c r="H60" s="35" t="s">
        <v>454</v>
      </c>
      <c r="I60" s="35"/>
      <c r="J60" s="18">
        <f>_xlfn.XLOOKUP(A58,$G$14:$G$19,$H$14:$H$19)</f>
        <v>0.58862826603325413</v>
      </c>
    </row>
    <row r="61" spans="1:11" ht="15.75" x14ac:dyDescent="0.25">
      <c r="B61" s="35" t="s">
        <v>455</v>
      </c>
      <c r="C61" s="35"/>
      <c r="D61" s="17">
        <f>D60-D59</f>
        <v>7.6099804963346562E-2</v>
      </c>
      <c r="H61" s="35" t="s">
        <v>455</v>
      </c>
      <c r="I61" s="35"/>
      <c r="J61" s="17">
        <f>J60-J59</f>
        <v>6.2826603325416563E-4</v>
      </c>
    </row>
    <row r="63" spans="1:11" ht="15.75" x14ac:dyDescent="0.25">
      <c r="B63" s="33" t="s">
        <v>1</v>
      </c>
      <c r="C63" s="33"/>
      <c r="D63" s="20">
        <f>_xlfn.XLOOKUP(A58,$A$14:$A$19,$E$14:$E$19)</f>
        <v>27</v>
      </c>
      <c r="H63" s="33" t="s">
        <v>1</v>
      </c>
      <c r="I63" s="33"/>
      <c r="J63" s="20">
        <f>_xlfn.XLOOKUP(A58,$G$14:$G$19,$K$14:$K$19)</f>
        <v>4</v>
      </c>
    </row>
    <row r="64" spans="1:11" ht="15.75" x14ac:dyDescent="0.25">
      <c r="B64" s="33" t="s">
        <v>457</v>
      </c>
      <c r="C64" s="33"/>
      <c r="D64" s="21">
        <f>_xlfn.XLOOKUP(A58,$A$14:$A$19,$D$14:$D$19)</f>
        <v>6544.8999999999987</v>
      </c>
      <c r="H64" s="33" t="s">
        <v>457</v>
      </c>
      <c r="I64" s="33"/>
      <c r="J64" s="21">
        <f>_xlfn.XLOOKUP(A58,$G$14:$G$19,$J$14:$J$19)</f>
        <v>687.19</v>
      </c>
    </row>
    <row r="66" spans="1:11" ht="15.75" x14ac:dyDescent="0.25">
      <c r="A66" s="34" t="s">
        <v>459</v>
      </c>
      <c r="B66" s="34"/>
      <c r="C66" s="34"/>
      <c r="D66" s="34"/>
      <c r="E66" s="34"/>
      <c r="G66" s="34" t="s">
        <v>459</v>
      </c>
      <c r="H66" s="34"/>
      <c r="I66" s="34"/>
      <c r="J66" s="34"/>
      <c r="K66" s="34"/>
    </row>
    <row r="67" spans="1:11" ht="15.75" x14ac:dyDescent="0.25">
      <c r="A67" s="22" t="s">
        <v>448</v>
      </c>
      <c r="B67" s="22" t="s">
        <v>473</v>
      </c>
      <c r="C67" s="22" t="s">
        <v>474</v>
      </c>
      <c r="D67" s="22" t="s">
        <v>470</v>
      </c>
      <c r="E67" s="22" t="s">
        <v>461</v>
      </c>
      <c r="G67" s="22" t="s">
        <v>448</v>
      </c>
      <c r="H67" s="22" t="s">
        <v>473</v>
      </c>
      <c r="I67" s="22" t="s">
        <v>474</v>
      </c>
      <c r="J67" s="22" t="s">
        <v>470</v>
      </c>
      <c r="K67" s="22" t="s">
        <v>461</v>
      </c>
    </row>
    <row r="68" spans="1:11" ht="15.75" x14ac:dyDescent="0.25">
      <c r="A68" s="20" t="str" cm="1">
        <f t="array" ref="A68:E70">Pivots!A41:E43</f>
        <v>EZRPA S</v>
      </c>
      <c r="B68" s="20">
        <v>46036</v>
      </c>
      <c r="C68" s="20">
        <v>60032</v>
      </c>
      <c r="D68" s="18">
        <v>0.76685767590618337</v>
      </c>
      <c r="E68" s="21">
        <v>2922.12</v>
      </c>
      <c r="G68" s="20" t="str">
        <f>IF(Pivots!H45&lt;&gt;"Grand Total",Pivots!H45,"")</f>
        <v>NASNY P</v>
      </c>
      <c r="H68" s="20">
        <f>IF($G$68&lt;&gt;"",Pivots!I45,"")</f>
        <v>1506</v>
      </c>
      <c r="I68" s="20">
        <f>IF($G$68&lt;&gt;"",Pivots!J45,"")</f>
        <v>1982</v>
      </c>
      <c r="J68" s="18">
        <f>IF($G$68&lt;&gt;"",Pivots!K45,"")</f>
        <v>0.75983854692230068</v>
      </c>
      <c r="K68" s="21">
        <f>IF($G$68&lt;&gt;"",Pivots!L45,"")</f>
        <v>109.19</v>
      </c>
    </row>
    <row r="69" spans="1:11" ht="15.75" x14ac:dyDescent="0.25">
      <c r="A69" s="30" t="str">
        <v>OREPA P</v>
      </c>
      <c r="B69" s="30">
        <v>2663</v>
      </c>
      <c r="C69" s="30">
        <v>3830</v>
      </c>
      <c r="D69" s="26">
        <v>0.6953002610966057</v>
      </c>
      <c r="E69" s="28">
        <v>209.1</v>
      </c>
      <c r="G69" s="30" t="str">
        <f>IF(Pivots!H46&lt;&gt;"Grand Total",Pivots!H46,"")</f>
        <v>EZRPA S</v>
      </c>
      <c r="H69" s="30">
        <f>IF($G$69&lt;&gt;"",Pivots!I46,"")</f>
        <v>5792</v>
      </c>
      <c r="I69" s="30">
        <f>IF($G$69&lt;&gt;"",Pivots!J46,"")</f>
        <v>7660</v>
      </c>
      <c r="J69" s="26">
        <f>IF($G$69&lt;&gt;"",Pivots!K46,"")</f>
        <v>0.7561357702349869</v>
      </c>
      <c r="K69" s="28">
        <f>IF($G$69&lt;&gt;"",Pivots!L46,"")</f>
        <v>366</v>
      </c>
    </row>
    <row r="70" spans="1:11" ht="15.75" x14ac:dyDescent="0.25">
      <c r="A70" s="20" t="str">
        <v>NASNY P</v>
      </c>
      <c r="B70" s="20">
        <v>3909</v>
      </c>
      <c r="C70" s="20">
        <v>5946</v>
      </c>
      <c r="D70" s="18">
        <v>0.65741675075681127</v>
      </c>
      <c r="E70" s="21">
        <v>327.38</v>
      </c>
      <c r="G70" s="20" t="str">
        <f>IF(Pivots!H47&lt;&gt;"Grand Total",Pivots!H47,"")</f>
        <v>SADNJ N</v>
      </c>
      <c r="H70" s="20">
        <f>IF($G$70&lt;&gt;"",Pivots!I47,"")</f>
        <v>632</v>
      </c>
      <c r="I70" s="20">
        <f>IF($G$70&lt;&gt;"",Pivots!J47,"")</f>
        <v>3830</v>
      </c>
      <c r="J70" s="18">
        <f>IF($G$70&lt;&gt;"",Pivots!K47,"")</f>
        <v>0.16501305483028719</v>
      </c>
      <c r="K70" s="21">
        <f>IF($G$70&lt;&gt;"",Pivots!L47,"")</f>
        <v>212</v>
      </c>
    </row>
    <row r="71" spans="1:11" ht="15.75" x14ac:dyDescent="0.25">
      <c r="H71" s="23" t="str">
        <f>IF(G71&lt;&gt;"",Pivots!I60,"")</f>
        <v/>
      </c>
    </row>
    <row r="72" spans="1:11" ht="15.75" x14ac:dyDescent="0.25">
      <c r="A72" s="32" t="s">
        <v>460</v>
      </c>
      <c r="B72" s="32"/>
      <c r="C72" s="32"/>
      <c r="D72" s="32"/>
      <c r="E72" s="32"/>
      <c r="G72" s="32" t="s">
        <v>460</v>
      </c>
      <c r="H72" s="32"/>
      <c r="I72" s="32"/>
      <c r="J72" s="32"/>
      <c r="K72" s="32"/>
    </row>
    <row r="73" spans="1:11" ht="15.75" x14ac:dyDescent="0.25">
      <c r="A73" s="22" t="s">
        <v>448</v>
      </c>
      <c r="B73" s="22" t="s">
        <v>473</v>
      </c>
      <c r="C73" s="22" t="s">
        <v>474</v>
      </c>
      <c r="D73" s="22" t="s">
        <v>470</v>
      </c>
      <c r="E73" s="22" t="s">
        <v>461</v>
      </c>
      <c r="G73" s="22" t="s">
        <v>448</v>
      </c>
      <c r="H73" s="22" t="s">
        <v>473</v>
      </c>
      <c r="I73" s="22" t="s">
        <v>474</v>
      </c>
      <c r="J73" s="22" t="s">
        <v>470</v>
      </c>
      <c r="K73" s="22" t="s">
        <v>461</v>
      </c>
    </row>
    <row r="74" spans="1:11" ht="15.75" x14ac:dyDescent="0.25">
      <c r="A74" s="20" t="str" cm="1">
        <f t="array" ref="A74:E76">Pivots!A65:E67</f>
        <v>SDFAS D</v>
      </c>
      <c r="B74" s="20">
        <v>578</v>
      </c>
      <c r="C74" s="20">
        <v>3964</v>
      </c>
      <c r="D74" s="18">
        <v>0.14581231079717458</v>
      </c>
      <c r="E74" s="21">
        <v>1201.54</v>
      </c>
      <c r="G74" s="20" t="str">
        <f>IF(Pivots!H85&lt;&gt;"Grand Total",Pivots!H85,"")</f>
        <v>SADNJ N</v>
      </c>
      <c r="H74" s="20">
        <f>IF($G$74&lt;&gt;"",Pivots!I85,"")</f>
        <v>632</v>
      </c>
      <c r="I74" s="20">
        <f>IF($G$74&lt;&gt;"",Pivots!J85,"")</f>
        <v>3830</v>
      </c>
      <c r="J74" s="18">
        <f>IF($G$74&lt;&gt;"",Pivots!K85,"")</f>
        <v>0.16501305483028719</v>
      </c>
      <c r="K74" s="21">
        <f>IF($G$74&lt;&gt;"",Pivots!L85,"")</f>
        <v>212</v>
      </c>
    </row>
    <row r="75" spans="1:11" ht="15.75" x14ac:dyDescent="0.25">
      <c r="A75" s="30" t="str">
        <v>SADNJ N</v>
      </c>
      <c r="B75" s="30">
        <v>2514</v>
      </c>
      <c r="C75" s="30">
        <v>9630</v>
      </c>
      <c r="D75" s="26">
        <v>0.26105919003115263</v>
      </c>
      <c r="E75" s="28">
        <v>529.47</v>
      </c>
      <c r="G75" s="30" t="str">
        <f>IF(Pivots!H86&lt;&gt;"Grand Total",Pivots!H86,"")</f>
        <v>EZRPA S</v>
      </c>
      <c r="H75" s="30">
        <f>IF($G$75&lt;&gt;"",Pivots!I86,"")</f>
        <v>5792</v>
      </c>
      <c r="I75" s="30">
        <f>IF($G$75&lt;&gt;"",Pivots!J86,"")</f>
        <v>7660</v>
      </c>
      <c r="J75" s="26">
        <f>IF($G$75&lt;&gt;"",Pivots!K86,"")</f>
        <v>0.7561357702349869</v>
      </c>
      <c r="K75" s="28">
        <f>IF($G$75&lt;&gt;"",Pivots!L86,"")</f>
        <v>366</v>
      </c>
    </row>
    <row r="76" spans="1:11" ht="15.75" x14ac:dyDescent="0.25">
      <c r="A76" s="20" t="str">
        <v>FOSNY P</v>
      </c>
      <c r="B76" s="20">
        <v>1146</v>
      </c>
      <c r="C76" s="20">
        <v>1982</v>
      </c>
      <c r="D76" s="18">
        <v>0.57820383451059532</v>
      </c>
      <c r="E76" s="21">
        <v>91.29</v>
      </c>
      <c r="G76" s="20" t="str">
        <f>IF(Pivots!H87&lt;&gt;"Grand Total",Pivots!H87,"")</f>
        <v>NASNY P</v>
      </c>
      <c r="H76" s="20">
        <f>IF($G$76&lt;&gt;"",Pivots!I87,"")</f>
        <v>1506</v>
      </c>
      <c r="I76" s="20">
        <f>IF($G$76&lt;&gt;"",Pivots!J87,"")</f>
        <v>1982</v>
      </c>
      <c r="J76" s="18">
        <f>IF($G$76&lt;&gt;"",Pivots!K87,"")</f>
        <v>0.75983854692230068</v>
      </c>
      <c r="K76" s="21">
        <f>IF($G$76&lt;&gt;"",Pivots!L87,"")</f>
        <v>109.19</v>
      </c>
    </row>
    <row r="77" spans="1:11" ht="15.75" thickBot="1" x14ac:dyDescent="0.3">
      <c r="A77" s="31"/>
      <c r="B77" s="31"/>
      <c r="C77" s="31"/>
      <c r="D77" s="31"/>
      <c r="E77" s="31"/>
      <c r="F77" s="31"/>
      <c r="G77" s="31"/>
      <c r="H77" s="31"/>
      <c r="I77" s="31"/>
      <c r="J77" s="31"/>
      <c r="K77" s="31"/>
    </row>
    <row r="78" spans="1:11" ht="18.75" x14ac:dyDescent="0.3">
      <c r="A78" s="36" t="s">
        <v>439</v>
      </c>
      <c r="B78" s="36"/>
      <c r="C78" s="36"/>
      <c r="D78" s="36"/>
      <c r="E78" s="36"/>
      <c r="F78" s="36"/>
      <c r="G78" s="36"/>
      <c r="H78" s="36"/>
      <c r="I78" s="36"/>
      <c r="J78" s="36"/>
      <c r="K78" s="36"/>
    </row>
    <row r="79" spans="1:11" ht="15.75" x14ac:dyDescent="0.25">
      <c r="B79" s="35" t="s">
        <v>453</v>
      </c>
      <c r="C79" s="35"/>
      <c r="D79" s="17">
        <v>0.58799999999999997</v>
      </c>
      <c r="H79" s="35" t="s">
        <v>453</v>
      </c>
      <c r="I79" s="35"/>
      <c r="J79" s="17">
        <v>0.58799999999999997</v>
      </c>
    </row>
    <row r="80" spans="1:11" ht="15.75" x14ac:dyDescent="0.25">
      <c r="B80" s="35" t="s">
        <v>454</v>
      </c>
      <c r="C80" s="35"/>
      <c r="D80" s="18">
        <f>_xlfn.XLOOKUP(A78,$A$14:$A$19,$B$14:$B$19)</f>
        <v>0.68727220572354208</v>
      </c>
      <c r="H80" s="35" t="s">
        <v>454</v>
      </c>
      <c r="I80" s="35"/>
      <c r="J80" s="18">
        <f>_xlfn.XLOOKUP(A78,$G$14:$G$19,$H$14:$H$19)</f>
        <v>0.74872620005363366</v>
      </c>
    </row>
    <row r="81" spans="1:11" ht="15.75" x14ac:dyDescent="0.25">
      <c r="B81" s="35" t="s">
        <v>455</v>
      </c>
      <c r="C81" s="35"/>
      <c r="D81" s="17">
        <f>D80-D79</f>
        <v>9.9272205723542117E-2</v>
      </c>
      <c r="H81" s="35" t="s">
        <v>455</v>
      </c>
      <c r="I81" s="35"/>
      <c r="J81" s="17">
        <f>J80-J79</f>
        <v>0.16072620005363369</v>
      </c>
    </row>
    <row r="83" spans="1:11" ht="15.75" x14ac:dyDescent="0.25">
      <c r="B83" s="33" t="s">
        <v>1</v>
      </c>
      <c r="C83" s="33"/>
      <c r="D83" s="20">
        <f>_xlfn.XLOOKUP(A78,$A$14:$A$19,$E$14:$E$19)</f>
        <v>34</v>
      </c>
      <c r="H83" s="33" t="s">
        <v>1</v>
      </c>
      <c r="I83" s="33"/>
      <c r="J83" s="20">
        <f>_xlfn.XLOOKUP(A78,$G$14:$G$19,$K$14:$K$19)</f>
        <v>4</v>
      </c>
    </row>
    <row r="84" spans="1:11" ht="15.75" x14ac:dyDescent="0.25">
      <c r="B84" s="33" t="s">
        <v>457</v>
      </c>
      <c r="C84" s="33"/>
      <c r="D84" s="21">
        <f>_xlfn.XLOOKUP(A78,$A$14:$A$19,$D$14:$D$19)</f>
        <v>32751.340000000004</v>
      </c>
      <c r="H84" s="33" t="s">
        <v>457</v>
      </c>
      <c r="I84" s="33"/>
      <c r="J84" s="21">
        <f>_xlfn.XLOOKUP(A78,$G$14:$G$19,$J$14:$J$19)</f>
        <v>3745.93</v>
      </c>
    </row>
    <row r="86" spans="1:11" ht="15.75" x14ac:dyDescent="0.25">
      <c r="A86" s="34" t="s">
        <v>459</v>
      </c>
      <c r="B86" s="34"/>
      <c r="C86" s="34"/>
      <c r="D86" s="34"/>
      <c r="E86" s="34"/>
      <c r="G86" s="34" t="s">
        <v>459</v>
      </c>
      <c r="H86" s="34"/>
      <c r="I86" s="34"/>
      <c r="J86" s="34"/>
      <c r="K86" s="34"/>
    </row>
    <row r="87" spans="1:11" ht="15.75" x14ac:dyDescent="0.25">
      <c r="A87" s="22" t="s">
        <v>448</v>
      </c>
      <c r="B87" s="22" t="s">
        <v>473</v>
      </c>
      <c r="C87" s="22" t="s">
        <v>474</v>
      </c>
      <c r="D87" s="22" t="s">
        <v>470</v>
      </c>
      <c r="E87" s="22" t="s">
        <v>461</v>
      </c>
      <c r="G87" s="22" t="s">
        <v>448</v>
      </c>
      <c r="H87" s="22" t="s">
        <v>473</v>
      </c>
      <c r="I87" s="22" t="s">
        <v>474</v>
      </c>
      <c r="J87" s="22" t="s">
        <v>470</v>
      </c>
      <c r="K87" s="22" t="s">
        <v>461</v>
      </c>
    </row>
    <row r="88" spans="1:11" ht="15.75" x14ac:dyDescent="0.25">
      <c r="A88" s="20" t="str" cm="1">
        <f t="array" ref="A88:E90">Pivots!A45:E47</f>
        <v>SMAGA T</v>
      </c>
      <c r="B88" s="20">
        <v>17330</v>
      </c>
      <c r="C88" s="20">
        <v>21132</v>
      </c>
      <c r="D88" s="18">
        <v>0.82008328601173575</v>
      </c>
      <c r="E88" s="21">
        <v>8017.85</v>
      </c>
      <c r="G88" s="20" t="str">
        <f>IF(Pivots!H53&lt;&gt;"Grand Total",Pivots!H53,"")</f>
        <v>SMAGA T</v>
      </c>
      <c r="H88" s="20">
        <f>IF($G$88&lt;&gt;"",Pivots!I53,"")</f>
        <v>3228</v>
      </c>
      <c r="I88" s="20">
        <f>IF($G$88&lt;&gt;"",Pivots!J53,"")</f>
        <v>3830</v>
      </c>
      <c r="J88" s="18">
        <f>IF($G$88&lt;&gt;"",Pivots!K53,"")</f>
        <v>0.84281984334203652</v>
      </c>
      <c r="K88" s="21">
        <f>IF($G$88&lt;&gt;"",Pivots!L53,"")</f>
        <v>1501.81</v>
      </c>
    </row>
    <row r="89" spans="1:11" ht="15.75" x14ac:dyDescent="0.25">
      <c r="A89" s="30" t="str">
        <v>EMPCA A</v>
      </c>
      <c r="B89" s="30">
        <v>2969</v>
      </c>
      <c r="C89" s="30">
        <v>3830</v>
      </c>
      <c r="D89" s="26">
        <v>0.77519582245430807</v>
      </c>
      <c r="E89" s="28">
        <v>4118.1400000000003</v>
      </c>
      <c r="G89" s="30" t="str">
        <f>IF(Pivots!H54&lt;&gt;"Grand Total",Pivots!H54,"")</f>
        <v>BURMD N</v>
      </c>
      <c r="H89" s="30">
        <f>IF($G$89&lt;&gt;"",Pivots!I54,"")</f>
        <v>3129</v>
      </c>
      <c r="I89" s="30">
        <f>IF($G$89&lt;&gt;"",Pivots!J54,"")</f>
        <v>3818</v>
      </c>
      <c r="J89" s="26">
        <f>IF($G$89&lt;&gt;"",Pivots!K54,"")</f>
        <v>0.81953902566788894</v>
      </c>
      <c r="K89" s="28">
        <f>IF($G$89&lt;&gt;"",Pivots!L54,"")</f>
        <v>332.94</v>
      </c>
    </row>
    <row r="90" spans="1:11" ht="15.75" x14ac:dyDescent="0.25">
      <c r="A90" s="20" t="str">
        <v>JACFL D</v>
      </c>
      <c r="B90" s="20">
        <v>20729</v>
      </c>
      <c r="C90" s="20">
        <v>26762</v>
      </c>
      <c r="D90" s="18">
        <v>0.77456841790598607</v>
      </c>
      <c r="E90" s="21">
        <v>12932.08</v>
      </c>
      <c r="G90" s="20" t="str">
        <f>IF(Pivots!H55&lt;&gt;"Grand Total",Pivots!H55,"")</f>
        <v>JACFL D</v>
      </c>
      <c r="H90" s="20">
        <f>IF($G$90&lt;&gt;"",Pivots!I55,"")</f>
        <v>2732</v>
      </c>
      <c r="I90" s="20">
        <f>IF($G$90&lt;&gt;"",Pivots!J55,"")</f>
        <v>3818</v>
      </c>
      <c r="J90" s="18">
        <f>IF($G$90&lt;&gt;"",Pivots!K55,"")</f>
        <v>0.71555788370874807</v>
      </c>
      <c r="K90" s="21">
        <f>IF($G$90&lt;&gt;"",Pivots!L55,"")</f>
        <v>1726.81</v>
      </c>
    </row>
    <row r="91" spans="1:11" ht="15.75" x14ac:dyDescent="0.25">
      <c r="H91" s="23" t="str">
        <f>IF(G91&lt;&gt;"",Pivots!I80,"")</f>
        <v/>
      </c>
    </row>
    <row r="92" spans="1:11" ht="15.75" x14ac:dyDescent="0.25">
      <c r="A92" s="32" t="s">
        <v>460</v>
      </c>
      <c r="B92" s="32"/>
      <c r="C92" s="32"/>
      <c r="D92" s="32"/>
      <c r="E92" s="32"/>
      <c r="G92" s="32" t="s">
        <v>460</v>
      </c>
      <c r="H92" s="32"/>
      <c r="I92" s="32"/>
      <c r="J92" s="32"/>
      <c r="K92" s="32"/>
    </row>
    <row r="93" spans="1:11" ht="15.75" x14ac:dyDescent="0.25">
      <c r="A93" s="22" t="s">
        <v>448</v>
      </c>
      <c r="B93" s="22" t="s">
        <v>473</v>
      </c>
      <c r="C93" s="22" t="s">
        <v>474</v>
      </c>
      <c r="D93" s="22" t="s">
        <v>470</v>
      </c>
      <c r="E93" s="22" t="s">
        <v>461</v>
      </c>
      <c r="G93" s="22" t="s">
        <v>448</v>
      </c>
      <c r="H93" s="22" t="s">
        <v>473</v>
      </c>
      <c r="I93" s="22" t="s">
        <v>474</v>
      </c>
      <c r="J93" s="22" t="s">
        <v>470</v>
      </c>
      <c r="K93" s="22" t="s">
        <v>461</v>
      </c>
    </row>
    <row r="94" spans="1:11" ht="15.75" x14ac:dyDescent="0.25">
      <c r="A94" s="20" t="str" cm="1">
        <f t="array" ref="A94:E96">Pivots!A69:E71</f>
        <v>LANPA P</v>
      </c>
      <c r="B94" s="20">
        <v>1695</v>
      </c>
      <c r="C94" s="20">
        <v>3964</v>
      </c>
      <c r="D94" s="18">
        <v>0.42759838546922302</v>
      </c>
      <c r="E94" s="21">
        <v>219.3</v>
      </c>
      <c r="G94" s="20" t="str">
        <f>IF(Pivots!H93&lt;&gt;"Grand Total",Pivots!H93,"")</f>
        <v>M43NY N</v>
      </c>
      <c r="H94" s="20">
        <f>IF($G$94&lt;&gt;"",Pivots!I93,"")</f>
        <v>2079</v>
      </c>
      <c r="I94" s="20">
        <f>IF($G$94&lt;&gt;"",Pivots!J93,"")</f>
        <v>3450</v>
      </c>
      <c r="J94" s="18">
        <f>IF($G$94&lt;&gt;"",Pivots!K93,"")</f>
        <v>0.6026086956521739</v>
      </c>
      <c r="K94" s="21">
        <f>IF($G$94&lt;&gt;"",Pivots!L93,"")</f>
        <v>184.37</v>
      </c>
    </row>
    <row r="95" spans="1:11" ht="15.75" x14ac:dyDescent="0.25">
      <c r="A95" s="30" t="str">
        <v>GAIMD N</v>
      </c>
      <c r="B95" s="30">
        <v>7400</v>
      </c>
      <c r="C95" s="30">
        <v>15320</v>
      </c>
      <c r="D95" s="26">
        <v>0.48302872062663188</v>
      </c>
      <c r="E95" s="28">
        <v>1496.2200000000003</v>
      </c>
      <c r="G95" s="30" t="str">
        <f>IF(Pivots!H94&lt;&gt;"Grand Total",Pivots!H94,"")</f>
        <v>JACFL D</v>
      </c>
      <c r="H95" s="30">
        <f>IF($G$95&lt;&gt;"",Pivots!I94,"")</f>
        <v>2732</v>
      </c>
      <c r="I95" s="30">
        <f>IF($G$95&lt;&gt;"",Pivots!J94,"")</f>
        <v>3818</v>
      </c>
      <c r="J95" s="26">
        <f>IF($G$95&lt;&gt;"",Pivots!K94,"")</f>
        <v>0.71555788370874807</v>
      </c>
      <c r="K95" s="28">
        <f>IF($G$95&lt;&gt;"",Pivots!L94,"")</f>
        <v>1726.81</v>
      </c>
    </row>
    <row r="96" spans="1:11" ht="15.75" x14ac:dyDescent="0.25">
      <c r="A96" s="20" t="str">
        <v>BRUNY P</v>
      </c>
      <c r="B96" s="20">
        <v>1584</v>
      </c>
      <c r="C96" s="20">
        <v>3230</v>
      </c>
      <c r="D96" s="18">
        <v>0.49040247678018578</v>
      </c>
      <c r="E96" s="21">
        <v>180.79</v>
      </c>
      <c r="G96" s="20" t="str">
        <f>IF(Pivots!H95&lt;&gt;"Grand Total",Pivots!H95,"")</f>
        <v>BURMD N</v>
      </c>
      <c r="H96" s="20">
        <f>IF($G$96&lt;&gt;"",Pivots!I95,"")</f>
        <v>3129</v>
      </c>
      <c r="I96" s="20">
        <f>IF($G$96&lt;&gt;"",Pivots!J95,"")</f>
        <v>3818</v>
      </c>
      <c r="J96" s="18">
        <f>IF($G$96&lt;&gt;"",Pivots!K95,"")</f>
        <v>0.81953902566788894</v>
      </c>
      <c r="K96" s="21">
        <f>IF($G$96&lt;&gt;"",Pivots!L95,"")</f>
        <v>332.94</v>
      </c>
    </row>
    <row r="97" spans="1:11" ht="15.75" thickBot="1" x14ac:dyDescent="0.3">
      <c r="A97" s="31"/>
      <c r="B97" s="31"/>
      <c r="C97" s="31"/>
      <c r="D97" s="31"/>
      <c r="E97" s="31"/>
      <c r="F97" s="31"/>
      <c r="G97" s="31"/>
      <c r="H97" s="31"/>
      <c r="I97" s="31"/>
      <c r="J97" s="31"/>
      <c r="K97" s="31"/>
    </row>
    <row r="98" spans="1:11" ht="18.75" x14ac:dyDescent="0.3">
      <c r="A98" s="36" t="s">
        <v>440</v>
      </c>
      <c r="B98" s="36"/>
      <c r="C98" s="36"/>
      <c r="D98" s="36"/>
      <c r="E98" s="36"/>
      <c r="F98" s="36"/>
      <c r="G98" s="36"/>
      <c r="H98" s="36"/>
      <c r="I98" s="36"/>
      <c r="J98" s="36"/>
      <c r="K98" s="36"/>
    </row>
    <row r="99" spans="1:11" ht="15.75" x14ac:dyDescent="0.25">
      <c r="B99" s="35" t="s">
        <v>453</v>
      </c>
      <c r="C99" s="35"/>
      <c r="D99" s="17">
        <v>0.58799999999999997</v>
      </c>
      <c r="H99" s="35" t="s">
        <v>453</v>
      </c>
      <c r="I99" s="35"/>
      <c r="J99" s="17">
        <v>0.58799999999999997</v>
      </c>
    </row>
    <row r="100" spans="1:11" ht="15.75" x14ac:dyDescent="0.25">
      <c r="B100" s="35" t="s">
        <v>454</v>
      </c>
      <c r="C100" s="35"/>
      <c r="D100" s="18">
        <f>_xlfn.XLOOKUP(A98,$A$14:$A$19,$B$14:$B$19)</f>
        <v>0.56458151937309531</v>
      </c>
      <c r="H100" s="35" t="s">
        <v>454</v>
      </c>
      <c r="I100" s="35"/>
      <c r="J100" s="18">
        <f>_xlfn.XLOOKUP(A98,$G$14:$G$19,$H$14:$H$19)</f>
        <v>0.55421686746987953</v>
      </c>
    </row>
    <row r="101" spans="1:11" ht="15.75" x14ac:dyDescent="0.25">
      <c r="B101" s="35" t="s">
        <v>455</v>
      </c>
      <c r="C101" s="35"/>
      <c r="D101" s="17">
        <f>D100-D99</f>
        <v>-2.3418480626904659E-2</v>
      </c>
      <c r="H101" s="35" t="s">
        <v>455</v>
      </c>
      <c r="I101" s="35"/>
      <c r="J101" s="17">
        <f>J100-J99</f>
        <v>-3.3783132530120441E-2</v>
      </c>
    </row>
    <row r="103" spans="1:11" ht="15.75" x14ac:dyDescent="0.25">
      <c r="B103" s="33" t="s">
        <v>1</v>
      </c>
      <c r="C103" s="33"/>
      <c r="D103" s="20">
        <f>_xlfn.XLOOKUP(A98,$A$14:$A$19,$E$14:$E$19)</f>
        <v>20</v>
      </c>
      <c r="H103" s="33" t="s">
        <v>1</v>
      </c>
      <c r="I103" s="33"/>
      <c r="J103" s="20">
        <f>_xlfn.XLOOKUP(A98,$G$14:$G$19,$K$14:$K$19)</f>
        <v>2</v>
      </c>
    </row>
    <row r="104" spans="1:11" ht="15.75" x14ac:dyDescent="0.25">
      <c r="B104" s="33" t="s">
        <v>457</v>
      </c>
      <c r="C104" s="33"/>
      <c r="D104" s="21">
        <f>_xlfn.XLOOKUP(A98,$A$14:$A$19,$D$14:$D$19)</f>
        <v>26018.42</v>
      </c>
      <c r="H104" s="33" t="s">
        <v>457</v>
      </c>
      <c r="I104" s="33"/>
      <c r="J104" s="21">
        <f>_xlfn.XLOOKUP(A98,$G$14:$G$19,$J$14:$J$19)</f>
        <v>4859.33</v>
      </c>
    </row>
    <row r="106" spans="1:11" ht="15.75" x14ac:dyDescent="0.25">
      <c r="A106" s="34" t="s">
        <v>459</v>
      </c>
      <c r="B106" s="34"/>
      <c r="C106" s="34"/>
      <c r="D106" s="34"/>
      <c r="E106" s="34"/>
      <c r="G106" s="34" t="s">
        <v>459</v>
      </c>
      <c r="H106" s="34"/>
      <c r="I106" s="34"/>
      <c r="J106" s="34"/>
      <c r="K106" s="34"/>
    </row>
    <row r="107" spans="1:11" ht="15.75" x14ac:dyDescent="0.25">
      <c r="A107" s="22" t="s">
        <v>448</v>
      </c>
      <c r="B107" s="22" t="s">
        <v>473</v>
      </c>
      <c r="C107" s="22" t="s">
        <v>474</v>
      </c>
      <c r="D107" s="22" t="s">
        <v>470</v>
      </c>
      <c r="E107" s="22" t="s">
        <v>461</v>
      </c>
      <c r="G107" s="22" t="s">
        <v>448</v>
      </c>
      <c r="H107" s="22" t="s">
        <v>473</v>
      </c>
      <c r="I107" s="22" t="s">
        <v>474</v>
      </c>
      <c r="J107" s="22" t="s">
        <v>470</v>
      </c>
      <c r="K107" s="22" t="s">
        <v>461</v>
      </c>
    </row>
    <row r="108" spans="1:11" ht="15.75" x14ac:dyDescent="0.25">
      <c r="A108" s="20" t="str" cm="1">
        <f t="array" ref="A108:E110">Pivots!A49:E51</f>
        <v>NBACA D</v>
      </c>
      <c r="B108" s="20">
        <v>16006</v>
      </c>
      <c r="C108" s="20">
        <v>19138</v>
      </c>
      <c r="D108" s="18">
        <v>0.83634653568815964</v>
      </c>
      <c r="E108" s="21">
        <v>21120.729999999996</v>
      </c>
      <c r="G108" s="20" t="str">
        <f>IF(AND(Pivots!H61&lt;&gt;"Grand Total",Pivots!H61&lt;&gt;""),Pivots!H61,"")</f>
        <v>NBACA D</v>
      </c>
      <c r="H108" s="20">
        <f>IF($G$108&lt;&gt;"",Pivots!I61,"")</f>
        <v>3264</v>
      </c>
      <c r="I108" s="20">
        <f>IF($G$108&lt;&gt;"",Pivots!J61,"")</f>
        <v>3818</v>
      </c>
      <c r="J108" s="18">
        <f>IF($G$108&lt;&gt;"",Pivots!K61,"")</f>
        <v>0.85489785227867998</v>
      </c>
      <c r="K108" s="21">
        <f>IF($G$108&lt;&gt;"",Pivots!L61,"")</f>
        <v>4645.13</v>
      </c>
    </row>
    <row r="109" spans="1:11" ht="15.75" x14ac:dyDescent="0.25">
      <c r="A109" s="30" t="str">
        <v>COLOH T</v>
      </c>
      <c r="B109" s="30">
        <v>2940</v>
      </c>
      <c r="C109" s="30">
        <v>3830</v>
      </c>
      <c r="D109" s="26">
        <v>0.76762402088772841</v>
      </c>
      <c r="E109" s="28">
        <v>853.83</v>
      </c>
      <c r="G109" s="30" t="str">
        <f>IF(AND(Pivots!H62&lt;&gt;"Grand Total",Pivots!H62&lt;&gt;""),Pivots!H62,"")</f>
        <v>MEANJ N</v>
      </c>
      <c r="H109" s="30">
        <f>IF($G$109&lt;&gt;"",Pivots!I62,"")</f>
        <v>968</v>
      </c>
      <c r="I109" s="30">
        <f>IF($G$109&lt;&gt;"",Pivots!J62,"")</f>
        <v>3818</v>
      </c>
      <c r="J109" s="30">
        <f>IF($G$109&lt;&gt;"",Pivots!K62,"")</f>
        <v>0.25353588266107913</v>
      </c>
      <c r="K109" s="30">
        <f>IF($G$109&lt;&gt;"",Pivots!L62,"")</f>
        <v>214.2</v>
      </c>
    </row>
    <row r="110" spans="1:11" ht="15.75" x14ac:dyDescent="0.25">
      <c r="A110" s="20" t="str">
        <v>WCHPA P</v>
      </c>
      <c r="B110" s="20">
        <v>5612</v>
      </c>
      <c r="C110" s="20">
        <v>7636</v>
      </c>
      <c r="D110" s="18">
        <v>0.73493975903614461</v>
      </c>
      <c r="E110" s="21">
        <v>433.5</v>
      </c>
      <c r="G110" s="20" t="str">
        <f>IF(AND(Pivots!H63&lt;&gt;"Grand Total",Pivots!H63&lt;&gt;""),Pivots!H63,"")</f>
        <v/>
      </c>
      <c r="H110" s="20" t="str">
        <f>IF($G$110&lt;&gt;"",Pivots!I63,"")</f>
        <v/>
      </c>
      <c r="I110" s="20" t="str">
        <f>IF($G$110&lt;&gt;"",Pivots!J63,"")</f>
        <v/>
      </c>
      <c r="J110" s="20" t="str">
        <f>IF($G$110&lt;&gt;"",Pivots!K63,"")</f>
        <v/>
      </c>
      <c r="K110" s="20" t="str">
        <f>IF($G$110&lt;&gt;"",Pivots!L63,"")</f>
        <v/>
      </c>
    </row>
    <row r="111" spans="1:11" ht="15.75" x14ac:dyDescent="0.25">
      <c r="H111" s="23" t="str">
        <f>IF(G111&lt;&gt;"",Pivots!I100,"")</f>
        <v/>
      </c>
    </row>
    <row r="112" spans="1:11" ht="15.75" x14ac:dyDescent="0.25">
      <c r="A112" s="32" t="s">
        <v>460</v>
      </c>
      <c r="B112" s="32"/>
      <c r="C112" s="32"/>
      <c r="D112" s="32"/>
      <c r="E112" s="32"/>
      <c r="G112" s="32" t="s">
        <v>460</v>
      </c>
      <c r="H112" s="32"/>
      <c r="I112" s="32"/>
      <c r="J112" s="32"/>
      <c r="K112" s="32"/>
    </row>
    <row r="113" spans="1:11" ht="15.75" x14ac:dyDescent="0.25">
      <c r="A113" s="22" t="s">
        <v>448</v>
      </c>
      <c r="B113" s="22" t="s">
        <v>473</v>
      </c>
      <c r="C113" s="22" t="s">
        <v>474</v>
      </c>
      <c r="D113" s="22" t="s">
        <v>470</v>
      </c>
      <c r="E113" s="22" t="s">
        <v>461</v>
      </c>
      <c r="G113" s="22" t="s">
        <v>448</v>
      </c>
      <c r="H113" s="22" t="s">
        <v>473</v>
      </c>
      <c r="I113" s="22" t="s">
        <v>474</v>
      </c>
      <c r="J113" s="22" t="s">
        <v>470</v>
      </c>
      <c r="K113" s="22" t="s">
        <v>461</v>
      </c>
    </row>
    <row r="114" spans="1:11" ht="15.75" x14ac:dyDescent="0.25">
      <c r="A114" s="20" t="str" cm="1">
        <f t="array" ref="A114:E116">Pivots!A73:E75</f>
        <v>CRBNJ N</v>
      </c>
      <c r="B114" s="20">
        <v>112</v>
      </c>
      <c r="C114" s="20">
        <v>3230</v>
      </c>
      <c r="D114" s="18">
        <v>3.4674922600619197E-2</v>
      </c>
      <c r="E114" s="21">
        <v>221.85</v>
      </c>
      <c r="G114" s="20" t="str">
        <f>IF(AND(Pivots!H101&lt;&gt;"Grand Total",Pivots!H101&lt;&gt;""),Pivots!H101,"")</f>
        <v>MEANJ N</v>
      </c>
      <c r="H114" s="20">
        <f>IF($G$114&lt;&gt;"",Pivots!I101,"")</f>
        <v>968</v>
      </c>
      <c r="I114" s="20">
        <f>IF($G$114&lt;&gt;"",Pivots!J101,"")</f>
        <v>3818</v>
      </c>
      <c r="J114" s="18">
        <f>IF($G$114&lt;&gt;"",Pivots!K101,"")</f>
        <v>0.25353588266107913</v>
      </c>
      <c r="K114" s="21">
        <f>IF($G$114&lt;&gt;"",Pivots!L101,"")</f>
        <v>214.2</v>
      </c>
    </row>
    <row r="115" spans="1:11" ht="15.75" x14ac:dyDescent="0.25">
      <c r="A115" s="30" t="str">
        <v>CHEMA T</v>
      </c>
      <c r="B115" s="30">
        <v>1021</v>
      </c>
      <c r="C115" s="30">
        <v>3230</v>
      </c>
      <c r="D115" s="26">
        <v>0.31609907120743036</v>
      </c>
      <c r="E115" s="28">
        <v>560.27</v>
      </c>
      <c r="G115" s="30" t="str">
        <f>IF(AND(Pivots!H102&lt;&gt;"Grand Total",Pivots!H102&lt;&gt;""),Pivots!H102,"")</f>
        <v>NBACA D</v>
      </c>
      <c r="H115" s="30">
        <f>IF($G$115&lt;&gt;"",Pivots!I102,"")</f>
        <v>3264</v>
      </c>
      <c r="I115" s="30">
        <f>IF($G$115&lt;&gt;"",Pivots!J102,"")</f>
        <v>3818</v>
      </c>
      <c r="J115" s="30">
        <f>IF($G$115&lt;&gt;"",Pivots!K102,"")</f>
        <v>0.85489785227867998</v>
      </c>
      <c r="K115" s="30">
        <f>IF($G$115&lt;&gt;"",Pivots!L102,"")</f>
        <v>4645.13</v>
      </c>
    </row>
    <row r="116" spans="1:11" ht="15.75" x14ac:dyDescent="0.25">
      <c r="A116" s="20" t="str">
        <v>PHLPA P</v>
      </c>
      <c r="B116" s="20">
        <v>1246</v>
      </c>
      <c r="C116" s="20">
        <v>3830</v>
      </c>
      <c r="D116" s="18">
        <v>0.32532637075718018</v>
      </c>
      <c r="E116" s="21">
        <v>216.75</v>
      </c>
      <c r="G116" s="20" t="str">
        <f>IF(AND(Pivots!H103&lt;&gt;"Grand Total",Pivots!H103&lt;&gt;""),Pivots!H103,"")</f>
        <v/>
      </c>
      <c r="H116" s="20" t="str">
        <f>IF($G$116&lt;&gt;"",Pivots!I103,"")</f>
        <v/>
      </c>
      <c r="I116" s="20" t="str">
        <f>IF($G$116&lt;&gt;"",Pivots!J103,"")</f>
        <v/>
      </c>
      <c r="J116" s="20" t="str">
        <f>IF($G$116&lt;&gt;"",Pivots!K103,"")</f>
        <v/>
      </c>
      <c r="K116" s="20" t="str">
        <f>IF($G$116&lt;&gt;"",Pivots!L103,"")</f>
        <v/>
      </c>
    </row>
    <row r="117" spans="1:11" ht="15.75" thickBot="1" x14ac:dyDescent="0.3">
      <c r="A117" s="31"/>
      <c r="B117" s="31"/>
      <c r="C117" s="31"/>
      <c r="D117" s="31"/>
      <c r="E117" s="31"/>
      <c r="F117" s="31"/>
      <c r="G117" s="31"/>
      <c r="H117" s="31"/>
      <c r="I117" s="31"/>
      <c r="J117" s="31"/>
      <c r="K117" s="31"/>
    </row>
    <row r="118" spans="1:11" ht="18.75" x14ac:dyDescent="0.3">
      <c r="A118" s="36" t="s">
        <v>441</v>
      </c>
      <c r="B118" s="36"/>
      <c r="C118" s="36"/>
      <c r="D118" s="36"/>
      <c r="E118" s="36"/>
      <c r="F118" s="36"/>
      <c r="G118" s="36"/>
      <c r="H118" s="36"/>
      <c r="I118" s="36"/>
      <c r="J118" s="36"/>
      <c r="K118" s="36"/>
    </row>
    <row r="119" spans="1:11" ht="15.75" x14ac:dyDescent="0.25">
      <c r="B119" s="35" t="s">
        <v>453</v>
      </c>
      <c r="C119" s="35"/>
      <c r="D119" s="17">
        <v>0.58799999999999997</v>
      </c>
      <c r="H119" s="35" t="s">
        <v>453</v>
      </c>
      <c r="I119" s="35"/>
      <c r="J119" s="17">
        <v>0.58799999999999997</v>
      </c>
    </row>
    <row r="120" spans="1:11" ht="15.75" x14ac:dyDescent="0.25">
      <c r="B120" s="35" t="s">
        <v>454</v>
      </c>
      <c r="C120" s="35"/>
      <c r="D120" s="18">
        <f>_xlfn.XLOOKUP(A118,$A$14:$A$19,$B$14:$B$19)</f>
        <v>0.71329116160723749</v>
      </c>
      <c r="H120" s="35" t="s">
        <v>454</v>
      </c>
      <c r="I120" s="35"/>
      <c r="J120" s="18">
        <f>_xlfn.XLOOKUP(A118,$G$14:$G$19,$H$14:$H$19)</f>
        <v>0.73769151316922021</v>
      </c>
    </row>
    <row r="121" spans="1:11" ht="15.75" x14ac:dyDescent="0.25">
      <c r="B121" s="35" t="s">
        <v>455</v>
      </c>
      <c r="C121" s="35"/>
      <c r="D121" s="17">
        <f>D120-D119</f>
        <v>0.12529116160723752</v>
      </c>
      <c r="H121" s="35" t="s">
        <v>455</v>
      </c>
      <c r="I121" s="35"/>
      <c r="J121" s="17">
        <f>J120-J119</f>
        <v>0.14969151316922025</v>
      </c>
    </row>
    <row r="123" spans="1:11" ht="15.75" x14ac:dyDescent="0.25">
      <c r="B123" s="33" t="s">
        <v>1</v>
      </c>
      <c r="C123" s="33"/>
      <c r="D123" s="20">
        <f>_xlfn.XLOOKUP(A118,$A$14:$A$19,$E$14:$E$19)</f>
        <v>55</v>
      </c>
      <c r="H123" s="33" t="s">
        <v>1</v>
      </c>
      <c r="I123" s="33"/>
      <c r="J123" s="20">
        <f>_xlfn.XLOOKUP(A118,$G$14:$G$19,$K$14:$K$19)</f>
        <v>8</v>
      </c>
    </row>
    <row r="124" spans="1:11" ht="15.75" x14ac:dyDescent="0.25">
      <c r="B124" s="33" t="s">
        <v>457</v>
      </c>
      <c r="C124" s="33"/>
      <c r="D124" s="21">
        <f>_xlfn.XLOOKUP(A118,$A$14:$A$19,$D$14:$D$19)</f>
        <v>70490.01999999999</v>
      </c>
      <c r="H124" s="33" t="s">
        <v>457</v>
      </c>
      <c r="I124" s="33"/>
      <c r="J124" s="21">
        <f>_xlfn.XLOOKUP(A118,$G$14:$G$19,$J$14:$J$19)</f>
        <v>10267.14</v>
      </c>
    </row>
    <row r="126" spans="1:11" ht="15.75" x14ac:dyDescent="0.25">
      <c r="A126" s="34" t="s">
        <v>459</v>
      </c>
      <c r="B126" s="34"/>
      <c r="C126" s="34"/>
      <c r="D126" s="34"/>
      <c r="E126" s="34"/>
      <c r="G126" s="34" t="s">
        <v>459</v>
      </c>
      <c r="H126" s="34"/>
      <c r="I126" s="34"/>
      <c r="J126" s="34"/>
      <c r="K126" s="34"/>
    </row>
    <row r="127" spans="1:11" ht="15.75" x14ac:dyDescent="0.25">
      <c r="A127" s="22" t="s">
        <v>448</v>
      </c>
      <c r="B127" s="22" t="s">
        <v>473</v>
      </c>
      <c r="C127" s="22" t="s">
        <v>474</v>
      </c>
      <c r="D127" s="22" t="s">
        <v>470</v>
      </c>
      <c r="E127" s="22" t="s">
        <v>461</v>
      </c>
      <c r="G127" s="22" t="s">
        <v>448</v>
      </c>
      <c r="H127" s="22" t="s">
        <v>473</v>
      </c>
      <c r="I127" s="22" t="s">
        <v>474</v>
      </c>
      <c r="J127" s="22" t="s">
        <v>470</v>
      </c>
      <c r="K127" s="22" t="s">
        <v>461</v>
      </c>
    </row>
    <row r="128" spans="1:11" ht="15.75" x14ac:dyDescent="0.25">
      <c r="A128" s="20" t="str" cm="1">
        <f t="array" ref="A128:E130">Pivots!A53:E55</f>
        <v>ALLPA P</v>
      </c>
      <c r="B128" s="20">
        <v>3288</v>
      </c>
      <c r="C128" s="20">
        <v>3830</v>
      </c>
      <c r="D128" s="18">
        <v>0.85848563968668412</v>
      </c>
      <c r="E128" s="21">
        <v>26</v>
      </c>
      <c r="G128" s="20" t="str">
        <f>IF(AND(Pivots!H69&lt;&gt;"Grand Total",Pivots!H69&lt;&gt;""),Pivots!H69,"")</f>
        <v>EMPCA T</v>
      </c>
      <c r="H128" s="20">
        <f>IF($G$128&lt;&gt;"",Pivots!I69,"")</f>
        <v>2893</v>
      </c>
      <c r="I128" s="20">
        <f>IF($G$128&lt;&gt;"",Pivots!J69,"")</f>
        <v>3818</v>
      </c>
      <c r="J128" s="18">
        <f>IF($G$128&lt;&gt;"",Pivots!K69,"")</f>
        <v>0.75772655840754322</v>
      </c>
      <c r="K128" s="21">
        <f>IF($G$128&lt;&gt;"",Pivots!L69,"")</f>
        <v>4118.1400000000003</v>
      </c>
    </row>
    <row r="129" spans="1:11" ht="15.75" x14ac:dyDescent="0.25">
      <c r="A129" s="30" t="str">
        <v>EMPCA T</v>
      </c>
      <c r="B129" s="30">
        <v>11974</v>
      </c>
      <c r="C129" s="30">
        <v>15284</v>
      </c>
      <c r="D129" s="26">
        <v>0.78343365611096571</v>
      </c>
      <c r="E129" s="28">
        <v>17249.890000000003</v>
      </c>
      <c r="G129" s="30" t="str">
        <f>IF(AND(Pivots!H70&lt;&gt;"Grand Total",Pivots!H70&lt;&gt;""),Pivots!H70,"")</f>
        <v>CCHIL D</v>
      </c>
      <c r="H129" s="30">
        <f>IF($G$129&lt;&gt;"",Pivots!I70,"")</f>
        <v>12837</v>
      </c>
      <c r="I129" s="30">
        <f>IF($G$129&lt;&gt;"",Pivots!J70,"")</f>
        <v>17436</v>
      </c>
      <c r="J129" s="26">
        <f>IF($G$129&lt;&gt;"",Pivots!K70,"")</f>
        <v>0.73623537508602888</v>
      </c>
      <c r="K129" s="28">
        <f>IF($G$129&lt;&gt;"",Pivots!L70,"")</f>
        <v>5937</v>
      </c>
    </row>
    <row r="130" spans="1:11" ht="15.75" x14ac:dyDescent="0.25">
      <c r="A130" s="20" t="str">
        <v>WHITN N</v>
      </c>
      <c r="B130" s="20">
        <v>4390</v>
      </c>
      <c r="C130" s="20">
        <v>5800</v>
      </c>
      <c r="D130" s="18">
        <v>0.75689655172413794</v>
      </c>
      <c r="E130" s="21">
        <v>2370.86</v>
      </c>
      <c r="G130" s="20" t="str">
        <f>IF(AND(Pivots!H71&lt;&gt;"Grand Total",Pivots!H71&lt;&gt;""),Pivots!H71,"")</f>
        <v>WATCT P</v>
      </c>
      <c r="H130" s="20">
        <f>IF($G$130&lt;&gt;"",Pivots!I71,"")</f>
        <v>1411</v>
      </c>
      <c r="I130" s="20">
        <f>IF($G$130&lt;&gt;"",Pivots!J71,"")</f>
        <v>1982</v>
      </c>
      <c r="J130" s="18">
        <f>IF($G$130&lt;&gt;"",Pivots!K71,"")</f>
        <v>0.71190716448032287</v>
      </c>
      <c r="K130" s="21">
        <f>IF($G$130&lt;&gt;"",Pivots!L71,"")</f>
        <v>212</v>
      </c>
    </row>
    <row r="131" spans="1:11" ht="15.75" x14ac:dyDescent="0.25">
      <c r="H131" s="23" t="str">
        <f>IF(G131&lt;&gt;"",Pivots!I72,"")</f>
        <v/>
      </c>
    </row>
    <row r="132" spans="1:11" ht="15.75" x14ac:dyDescent="0.25">
      <c r="A132" s="32" t="s">
        <v>460</v>
      </c>
      <c r="B132" s="32"/>
      <c r="C132" s="32"/>
      <c r="D132" s="32"/>
      <c r="E132" s="32"/>
      <c r="G132" s="32" t="s">
        <v>460</v>
      </c>
      <c r="H132" s="32"/>
      <c r="I132" s="32"/>
      <c r="J132" s="32"/>
      <c r="K132" s="32"/>
    </row>
    <row r="133" spans="1:11" ht="15.75" x14ac:dyDescent="0.25">
      <c r="A133" s="22" t="s">
        <v>448</v>
      </c>
      <c r="B133" s="22" t="s">
        <v>473</v>
      </c>
      <c r="C133" s="22" t="s">
        <v>474</v>
      </c>
      <c r="D133" s="22" t="s">
        <v>470</v>
      </c>
      <c r="E133" s="22" t="s">
        <v>461</v>
      </c>
      <c r="G133" s="22" t="s">
        <v>448</v>
      </c>
      <c r="H133" s="22" t="s">
        <v>473</v>
      </c>
      <c r="I133" s="22" t="s">
        <v>474</v>
      </c>
      <c r="J133" s="22" t="s">
        <v>470</v>
      </c>
      <c r="K133" s="22" t="s">
        <v>461</v>
      </c>
    </row>
    <row r="134" spans="1:11" ht="15.75" x14ac:dyDescent="0.25">
      <c r="A134" s="20" t="str" cm="1">
        <f t="array" ref="A134:E136">Pivots!A77:E79</f>
        <v>NBLOH T</v>
      </c>
      <c r="B134" s="20">
        <v>6291</v>
      </c>
      <c r="C134" s="20">
        <v>9854</v>
      </c>
      <c r="D134" s="18">
        <v>0.63842094580880859</v>
      </c>
      <c r="E134" s="21">
        <v>2304.65</v>
      </c>
      <c r="G134" s="20" t="str">
        <f>IF(AND(Pivots!H109&lt;&gt;"Grand Total",Pivots!H109&lt;&gt;""),Pivots!H109,"")</f>
        <v>WATCT P</v>
      </c>
      <c r="H134" s="20">
        <f>IF($G$134&lt;&gt;"",Pivots!I109,"")</f>
        <v>1411</v>
      </c>
      <c r="I134" s="20">
        <f>IF($G$134&lt;&gt;"",Pivots!J109,"")</f>
        <v>1982</v>
      </c>
      <c r="J134" s="18">
        <f>IF($G$134&lt;&gt;"",Pivots!K109,"")</f>
        <v>0.71190716448032287</v>
      </c>
      <c r="K134" s="21">
        <f>IF($G$134&lt;&gt;"",Pivots!L109,"")</f>
        <v>212</v>
      </c>
    </row>
    <row r="135" spans="1:11" ht="15.75" x14ac:dyDescent="0.25">
      <c r="A135" s="30" t="str">
        <v>WATCT P</v>
      </c>
      <c r="B135" s="30">
        <v>3876</v>
      </c>
      <c r="C135" s="30">
        <v>5946</v>
      </c>
      <c r="D135" s="26">
        <v>0.65186680121089813</v>
      </c>
      <c r="E135" s="28">
        <v>636.24</v>
      </c>
      <c r="G135" s="30" t="str">
        <f>IF(AND(Pivots!H110&lt;&gt;"Grand Total",Pivots!H110&lt;&gt;""),Pivots!H110,"")</f>
        <v>CCHIL D</v>
      </c>
      <c r="H135" s="30">
        <f>IF($G$135&lt;&gt;"",Pivots!I110,"")</f>
        <v>12837</v>
      </c>
      <c r="I135" s="30">
        <f>IF($G$135&lt;&gt;"",Pivots!J110,"")</f>
        <v>17436</v>
      </c>
      <c r="J135" s="26">
        <f>IF($G$135&lt;&gt;"",Pivots!K110,"")</f>
        <v>0.73623537508602888</v>
      </c>
      <c r="K135" s="28">
        <f>IF($G$135&lt;&gt;"",Pivots!L110,"")</f>
        <v>5937</v>
      </c>
    </row>
    <row r="136" spans="1:11" ht="15.75" x14ac:dyDescent="0.25">
      <c r="A136" s="20" t="str">
        <v>HARCT N</v>
      </c>
      <c r="B136" s="20">
        <v>1366</v>
      </c>
      <c r="C136" s="20">
        <v>1982</v>
      </c>
      <c r="D136" s="18">
        <v>0.68920282542885969</v>
      </c>
      <c r="E136" s="21">
        <v>194.22</v>
      </c>
      <c r="G136" s="20" t="str">
        <f>IF(AND(Pivots!H111&lt;&gt;"Grand Total",Pivots!H111&lt;&gt;""),Pivots!H111,"")</f>
        <v>EMPCA T</v>
      </c>
      <c r="H136" s="20">
        <f>IF($G$136&lt;&gt;"",Pivots!I111,"")</f>
        <v>2893</v>
      </c>
      <c r="I136" s="20">
        <f>IF($G$136&lt;&gt;"",Pivots!J111,"")</f>
        <v>3818</v>
      </c>
      <c r="J136" s="18">
        <f>IF($G$136&lt;&gt;"",Pivots!K111,"")</f>
        <v>0.75772655840754322</v>
      </c>
      <c r="K136" s="21">
        <f>IF($G$136&lt;&gt;"",Pivots!L111,"")</f>
        <v>4118.1400000000003</v>
      </c>
    </row>
  </sheetData>
  <mergeCells count="98">
    <mergeCell ref="A1:K1"/>
    <mergeCell ref="A5:K5"/>
    <mergeCell ref="H6:I6"/>
    <mergeCell ref="H7:I7"/>
    <mergeCell ref="H8:I8"/>
    <mergeCell ref="B6:C6"/>
    <mergeCell ref="B7:C7"/>
    <mergeCell ref="B8:C8"/>
    <mergeCell ref="A2:E3"/>
    <mergeCell ref="G2:K3"/>
    <mergeCell ref="G4:K4"/>
    <mergeCell ref="A4:E4"/>
    <mergeCell ref="A37:K37"/>
    <mergeCell ref="A38:K38"/>
    <mergeCell ref="B39:C39"/>
    <mergeCell ref="A13:E13"/>
    <mergeCell ref="H10:I10"/>
    <mergeCell ref="H11:I11"/>
    <mergeCell ref="B10:C10"/>
    <mergeCell ref="A21:E21"/>
    <mergeCell ref="G21:K21"/>
    <mergeCell ref="G29:K29"/>
    <mergeCell ref="A29:E29"/>
    <mergeCell ref="B11:C11"/>
    <mergeCell ref="G13:K13"/>
    <mergeCell ref="B40:C40"/>
    <mergeCell ref="B41:C41"/>
    <mergeCell ref="B43:C43"/>
    <mergeCell ref="B44:C44"/>
    <mergeCell ref="H39:I39"/>
    <mergeCell ref="H40:I40"/>
    <mergeCell ref="H41:I41"/>
    <mergeCell ref="H43:I43"/>
    <mergeCell ref="H44:I44"/>
    <mergeCell ref="G46:K46"/>
    <mergeCell ref="A46:E46"/>
    <mergeCell ref="A52:E52"/>
    <mergeCell ref="G52:K52"/>
    <mergeCell ref="A58:K58"/>
    <mergeCell ref="B59:C59"/>
    <mergeCell ref="H59:I59"/>
    <mergeCell ref="B60:C60"/>
    <mergeCell ref="H60:I60"/>
    <mergeCell ref="B61:C61"/>
    <mergeCell ref="H61:I61"/>
    <mergeCell ref="B63:C63"/>
    <mergeCell ref="H63:I63"/>
    <mergeCell ref="B64:C64"/>
    <mergeCell ref="H64:I64"/>
    <mergeCell ref="A66:E66"/>
    <mergeCell ref="G66:K66"/>
    <mergeCell ref="A72:E72"/>
    <mergeCell ref="G72:K72"/>
    <mergeCell ref="A78:K78"/>
    <mergeCell ref="B79:C79"/>
    <mergeCell ref="H79:I79"/>
    <mergeCell ref="B80:C80"/>
    <mergeCell ref="H80:I80"/>
    <mergeCell ref="B81:C81"/>
    <mergeCell ref="H81:I81"/>
    <mergeCell ref="B83:C83"/>
    <mergeCell ref="H83:I83"/>
    <mergeCell ref="B84:C84"/>
    <mergeCell ref="H84:I84"/>
    <mergeCell ref="A86:E86"/>
    <mergeCell ref="G86:K86"/>
    <mergeCell ref="A92:E92"/>
    <mergeCell ref="G92:K92"/>
    <mergeCell ref="A98:K98"/>
    <mergeCell ref="B99:C99"/>
    <mergeCell ref="H99:I99"/>
    <mergeCell ref="B100:C100"/>
    <mergeCell ref="H100:I100"/>
    <mergeCell ref="B101:C101"/>
    <mergeCell ref="H101:I101"/>
    <mergeCell ref="B103:C103"/>
    <mergeCell ref="H103:I103"/>
    <mergeCell ref="B104:C104"/>
    <mergeCell ref="H104:I104"/>
    <mergeCell ref="A106:E106"/>
    <mergeCell ref="G106:K106"/>
    <mergeCell ref="A112:E112"/>
    <mergeCell ref="G112:K112"/>
    <mergeCell ref="A118:K118"/>
    <mergeCell ref="B119:C119"/>
    <mergeCell ref="H119:I119"/>
    <mergeCell ref="B120:C120"/>
    <mergeCell ref="H120:I120"/>
    <mergeCell ref="B121:C121"/>
    <mergeCell ref="H121:I121"/>
    <mergeCell ref="A132:E132"/>
    <mergeCell ref="G132:K132"/>
    <mergeCell ref="B123:C123"/>
    <mergeCell ref="H123:I123"/>
    <mergeCell ref="B124:C124"/>
    <mergeCell ref="H124:I124"/>
    <mergeCell ref="A126:E126"/>
    <mergeCell ref="G126:K126"/>
  </mergeCells>
  <conditionalFormatting sqref="D8">
    <cfRule type="cellIs" dxfId="137" priority="32" operator="lessThan">
      <formula>0</formula>
    </cfRule>
    <cfRule type="cellIs" dxfId="136" priority="33" operator="greaterThan">
      <formula>0.000001</formula>
    </cfRule>
    <cfRule type="iconSet" priority="38">
      <iconSet iconSet="3Arrows">
        <cfvo type="percent" val="0"/>
        <cfvo type="percent" val="33"/>
        <cfvo type="percent" val="67"/>
      </iconSet>
    </cfRule>
  </conditionalFormatting>
  <conditionalFormatting sqref="D41">
    <cfRule type="cellIs" dxfId="135" priority="29" operator="greaterThan">
      <formula>0.000001</formula>
    </cfRule>
    <cfRule type="cellIs" dxfId="134" priority="28" operator="lessThan">
      <formula>0</formula>
    </cfRule>
    <cfRule type="iconSet" priority="30">
      <iconSet iconSet="3Arrows">
        <cfvo type="percent" val="0"/>
        <cfvo type="percent" val="33"/>
        <cfvo type="percent" val="67"/>
      </iconSet>
    </cfRule>
  </conditionalFormatting>
  <conditionalFormatting sqref="D61">
    <cfRule type="iconSet" priority="24">
      <iconSet iconSet="3Arrows">
        <cfvo type="percent" val="0"/>
        <cfvo type="percent" val="33"/>
        <cfvo type="percent" val="67"/>
      </iconSet>
    </cfRule>
    <cfRule type="cellIs" dxfId="133" priority="23" operator="greaterThan">
      <formula>0.000001</formula>
    </cfRule>
    <cfRule type="cellIs" dxfId="132" priority="22" operator="lessThan">
      <formula>0</formula>
    </cfRule>
  </conditionalFormatting>
  <conditionalFormatting sqref="D81">
    <cfRule type="cellIs" dxfId="131" priority="16" operator="lessThan">
      <formula>0</formula>
    </cfRule>
    <cfRule type="cellIs" dxfId="130" priority="17" operator="greaterThan">
      <formula>0.000001</formula>
    </cfRule>
    <cfRule type="iconSet" priority="18">
      <iconSet iconSet="3Arrows">
        <cfvo type="percent" val="0"/>
        <cfvo type="percent" val="33"/>
        <cfvo type="percent" val="67"/>
      </iconSet>
    </cfRule>
  </conditionalFormatting>
  <conditionalFormatting sqref="D101">
    <cfRule type="cellIs" dxfId="129" priority="10" operator="lessThan">
      <formula>0</formula>
    </cfRule>
    <cfRule type="cellIs" dxfId="128" priority="11" operator="greaterThan">
      <formula>0.000001</formula>
    </cfRule>
    <cfRule type="iconSet" priority="12">
      <iconSet iconSet="3Arrows">
        <cfvo type="percent" val="0"/>
        <cfvo type="percent" val="33"/>
        <cfvo type="percent" val="67"/>
      </iconSet>
    </cfRule>
  </conditionalFormatting>
  <conditionalFormatting sqref="D121">
    <cfRule type="cellIs" dxfId="127" priority="4" operator="lessThan">
      <formula>0</formula>
    </cfRule>
    <cfRule type="cellIs" dxfId="126" priority="5" operator="greaterThan">
      <formula>0.000001</formula>
    </cfRule>
    <cfRule type="iconSet" priority="6">
      <iconSet iconSet="3Arrows">
        <cfvo type="percent" val="0"/>
        <cfvo type="percent" val="33"/>
        <cfvo type="percent" val="67"/>
      </iconSet>
    </cfRule>
  </conditionalFormatting>
  <conditionalFormatting sqref="I15:I19">
    <cfRule type="iconSet" priority="35">
      <iconSet iconSet="3Arrows">
        <cfvo type="percent" val="0"/>
        <cfvo type="num" val="0"/>
        <cfvo type="num" val="9.9999999999999995E-8"/>
      </iconSet>
    </cfRule>
  </conditionalFormatting>
  <conditionalFormatting sqref="J8">
    <cfRule type="iconSet" priority="39">
      <iconSet iconSet="3Arrows">
        <cfvo type="percent" val="0"/>
        <cfvo type="percent" val="$J$6"/>
        <cfvo type="percent" val="$J$6"/>
      </iconSet>
    </cfRule>
    <cfRule type="cellIs" dxfId="125" priority="31" operator="lessThan">
      <formula>0</formula>
    </cfRule>
    <cfRule type="cellIs" dxfId="124" priority="34" operator="greaterThan">
      <formula>0.00001</formula>
    </cfRule>
  </conditionalFormatting>
  <conditionalFormatting sqref="J41">
    <cfRule type="iconSet" priority="27">
      <iconSet iconSet="3Arrows">
        <cfvo type="percent" val="0"/>
        <cfvo type="percent" val="$J$6"/>
        <cfvo type="percent" val="$J$6"/>
      </iconSet>
    </cfRule>
    <cfRule type="cellIs" dxfId="123" priority="26" operator="greaterThan">
      <formula>0.00001</formula>
    </cfRule>
    <cfRule type="cellIs" dxfId="122" priority="25" operator="lessThan">
      <formula>0</formula>
    </cfRule>
  </conditionalFormatting>
  <conditionalFormatting sqref="J61">
    <cfRule type="iconSet" priority="21">
      <iconSet iconSet="3Arrows">
        <cfvo type="percent" val="0"/>
        <cfvo type="percent" val="$J$6"/>
        <cfvo type="percent" val="$J$6"/>
      </iconSet>
    </cfRule>
    <cfRule type="cellIs" dxfId="121" priority="19" operator="lessThan">
      <formula>0</formula>
    </cfRule>
    <cfRule type="cellIs" dxfId="120" priority="20" operator="greaterThan">
      <formula>0.00001</formula>
    </cfRule>
  </conditionalFormatting>
  <conditionalFormatting sqref="J81">
    <cfRule type="iconSet" priority="15">
      <iconSet iconSet="3Arrows">
        <cfvo type="percent" val="0"/>
        <cfvo type="percent" val="$J$6"/>
        <cfvo type="percent" val="$J$6"/>
      </iconSet>
    </cfRule>
    <cfRule type="cellIs" dxfId="119" priority="14" operator="greaterThan">
      <formula>0.00001</formula>
    </cfRule>
    <cfRule type="cellIs" dxfId="118" priority="13" operator="lessThan">
      <formula>0</formula>
    </cfRule>
  </conditionalFormatting>
  <conditionalFormatting sqref="J101">
    <cfRule type="iconSet" priority="9">
      <iconSet iconSet="3Arrows">
        <cfvo type="percent" val="0"/>
        <cfvo type="percent" val="$J$6"/>
        <cfvo type="percent" val="$J$6"/>
      </iconSet>
    </cfRule>
    <cfRule type="cellIs" dxfId="117" priority="8" operator="greaterThan">
      <formula>0.00001</formula>
    </cfRule>
    <cfRule type="cellIs" dxfId="116" priority="7" operator="lessThan">
      <formula>0</formula>
    </cfRule>
  </conditionalFormatting>
  <conditionalFormatting sqref="J121">
    <cfRule type="iconSet" priority="3">
      <iconSet iconSet="3Arrows">
        <cfvo type="percent" val="0"/>
        <cfvo type="percent" val="$J$6"/>
        <cfvo type="percent" val="$J$6"/>
      </iconSet>
    </cfRule>
    <cfRule type="cellIs" dxfId="115" priority="2" operator="greaterThan">
      <formula>0.00001</formula>
    </cfRule>
    <cfRule type="cellIs" dxfId="114" priority="1" operator="lessThan">
      <formula>0</formula>
    </cfRule>
  </conditionalFormatting>
  <pageMargins left="0.7" right="0.7" top="0.75" bottom="0.75" header="0.3" footer="0.3"/>
  <pageSetup scale="62"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37" id="{338C141A-8D60-44DE-B493-A04C0E5ADAB0}">
            <x14:iconSet iconSet="3Arrows" custom="1">
              <x14:cfvo type="percent">
                <xm:f>0</xm:f>
              </x14:cfvo>
              <x14:cfvo type="num">
                <xm:f>0</xm:f>
              </x14:cfvo>
              <x14:cfvo type="num" gte="0">
                <xm:f>9.9999999999999995E-8</xm:f>
              </x14:cfvo>
              <x14:cfIcon iconSet="3Arrows" iconId="0"/>
              <x14:cfIcon iconSet="3Arrows" iconId="1"/>
              <x14:cfIcon iconSet="3Arrows" iconId="2"/>
            </x14:iconSet>
          </x14:cfRule>
          <xm:sqref>C15:C19</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A681B6-E9B6-4069-B557-5FD28F559B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Cube Data</vt:lpstr>
      <vt:lpstr>Pivots</vt:lpstr>
      <vt:lpstr>Load Information Lookup</vt:lpstr>
      <vt:lpstr>Outbound Lineup</vt:lpstr>
      <vt:lpstr>Cube Utilization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Clayton Geils</dc:creator>
  <cp:lastModifiedBy>Clayton Geils</cp:lastModifiedBy>
  <cp:lastPrinted>2026-07-31T15:50:41Z</cp:lastPrinted>
  <dcterms:created xsi:type="dcterms:W3CDTF">2026-03-04T22:26:47Z</dcterms:created>
  <dcterms:modified xsi:type="dcterms:W3CDTF">2026-07-31T15:58:42Z</dcterms:modified>
</cp:coreProperties>
</file>